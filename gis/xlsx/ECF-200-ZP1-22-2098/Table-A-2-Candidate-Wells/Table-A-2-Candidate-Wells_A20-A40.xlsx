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INTERA\hanford\CPCCO.M001.MRA-TOR-93\gis\xlsx\ECF-200-ZP1-22-2098\Table-A-2-Candidate-Wells\"/>
    </mc:Choice>
  </mc:AlternateContent>
  <xr:revisionPtr revIDLastSave="0" documentId="13_ncr:1_{240C1F83-BC92-43C7-B397-B38E64ABCBE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Table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2" i="1" l="1"/>
  <c r="H92" i="1" s="1"/>
  <c r="G92" i="1"/>
  <c r="I183" i="1"/>
  <c r="G183" i="1"/>
  <c r="H183" i="1" l="1"/>
</calcChain>
</file>

<file path=xl/sharedStrings.xml><?xml version="1.0" encoding="utf-8"?>
<sst xmlns="http://schemas.openxmlformats.org/spreadsheetml/2006/main" count="1795" uniqueCount="324">
  <si>
    <r>
      <rPr>
        <sz val="8.5"/>
        <color rgb="FF161616"/>
        <rFont val="Times New Roman"/>
        <family val="1"/>
      </rPr>
      <t>200-UP-l</t>
    </r>
  </si>
  <si>
    <r>
      <rPr>
        <sz val="8.5"/>
        <color rgb="FF161616"/>
        <rFont val="Times New Roman"/>
        <family val="1"/>
      </rPr>
      <t>UU</t>
    </r>
    <r>
      <rPr>
        <sz val="8.5"/>
        <color rgb="FF494949"/>
        <rFont val="Times New Roman"/>
        <family val="1"/>
      </rPr>
      <t>/</t>
    </r>
    <r>
      <rPr>
        <sz val="8.5"/>
        <color rgb="FF161616"/>
        <rFont val="Times New Roman"/>
        <family val="1"/>
      </rPr>
      <t>MU</t>
    </r>
  </si>
  <si>
    <r>
      <rPr>
        <sz val="8.5"/>
        <color rgb="FF161616"/>
        <rFont val="Times New Roman"/>
        <family val="1"/>
      </rPr>
      <t>299-W21-2</t>
    </r>
  </si>
  <si>
    <r>
      <rPr>
        <sz val="8.5"/>
        <color rgb="FF161616"/>
        <rFont val="Times New Roman"/>
        <family val="1"/>
      </rPr>
      <t>299-W2l-3</t>
    </r>
  </si>
  <si>
    <r>
      <rPr>
        <sz val="8.5"/>
        <color rgb="FF161616"/>
        <rFont val="Times New Roman"/>
        <family val="1"/>
      </rPr>
      <t>299-W22-10</t>
    </r>
  </si>
  <si>
    <r>
      <rPr>
        <sz val="8.5"/>
        <color rgb="FF161616"/>
        <rFont val="Times New Roman"/>
        <family val="1"/>
      </rPr>
      <t>299-W22-20</t>
    </r>
  </si>
  <si>
    <r>
      <rPr>
        <sz val="8.5"/>
        <color rgb="FF161616"/>
        <rFont val="Times New Roman"/>
        <family val="1"/>
      </rPr>
      <t>LU</t>
    </r>
    <r>
      <rPr>
        <sz val="8.5"/>
        <color rgb="FF494949"/>
        <rFont val="Times New Roman"/>
        <family val="1"/>
      </rPr>
      <t>/</t>
    </r>
    <r>
      <rPr>
        <sz val="8.5"/>
        <color rgb="FF161616"/>
        <rFont val="Times New Roman"/>
        <family val="1"/>
      </rPr>
      <t>CR</t>
    </r>
  </si>
  <si>
    <r>
      <rPr>
        <sz val="8.5"/>
        <color rgb="FF161616"/>
        <rFont val="Times New Roman"/>
        <family val="1"/>
      </rPr>
      <t>200-UP-1</t>
    </r>
  </si>
  <si>
    <r>
      <rPr>
        <sz val="8.5"/>
        <color rgb="FF161616"/>
        <rFont val="Times New Roman"/>
        <family val="1"/>
      </rPr>
      <t>299-W22-44</t>
    </r>
  </si>
  <si>
    <r>
      <rPr>
        <sz val="8.5"/>
        <color rgb="FF161616"/>
        <rFont val="Times New Roman"/>
        <family val="1"/>
      </rPr>
      <t>299-W22-45</t>
    </r>
  </si>
  <si>
    <r>
      <rPr>
        <sz val="8.5"/>
        <color rgb="FF161616"/>
        <rFont val="Times New Roman"/>
        <family val="1"/>
      </rPr>
      <t>299-W22-47</t>
    </r>
  </si>
  <si>
    <r>
      <rPr>
        <sz val="8.5"/>
        <color rgb="FF161616"/>
        <rFont val="Times New Roman"/>
        <family val="1"/>
      </rPr>
      <t>299-W22-49</t>
    </r>
  </si>
  <si>
    <r>
      <rPr>
        <sz val="8.5"/>
        <color rgb="FF161616"/>
        <rFont val="Times New Roman"/>
        <family val="1"/>
      </rPr>
      <t>299-W22-50</t>
    </r>
  </si>
  <si>
    <r>
      <rPr>
        <sz val="8.5"/>
        <color rgb="FF161616"/>
        <rFont val="Times New Roman"/>
        <family val="1"/>
      </rPr>
      <t>299-W22-72</t>
    </r>
  </si>
  <si>
    <r>
      <rPr>
        <sz val="8.5"/>
        <color rgb="FF161616"/>
        <rFont val="Times New Roman"/>
        <family val="1"/>
      </rPr>
      <t>299-W22-79</t>
    </r>
  </si>
  <si>
    <r>
      <rPr>
        <sz val="8.5"/>
        <color rgb="FF161616"/>
        <rFont val="Times New Roman"/>
        <family val="1"/>
      </rPr>
      <t>299-W22-80</t>
    </r>
  </si>
  <si>
    <r>
      <rPr>
        <sz val="8.5"/>
        <color rgb="FF161616"/>
        <rFont val="Times New Roman"/>
        <family val="1"/>
      </rPr>
      <t>299-W22-81</t>
    </r>
  </si>
  <si>
    <r>
      <rPr>
        <sz val="8.5"/>
        <color rgb="FF161616"/>
        <rFont val="Times New Roman"/>
        <family val="1"/>
      </rPr>
      <t>299-W22-82</t>
    </r>
  </si>
  <si>
    <r>
      <rPr>
        <sz val="8.5"/>
        <color rgb="FF161616"/>
        <rFont val="Times New Roman"/>
        <family val="1"/>
      </rPr>
      <t>299-W22-83</t>
    </r>
  </si>
  <si>
    <r>
      <rPr>
        <sz val="8.5"/>
        <color rgb="FF161616"/>
        <rFont val="Times New Roman"/>
        <family val="1"/>
      </rPr>
      <t>299-W22-84</t>
    </r>
  </si>
  <si>
    <r>
      <rPr>
        <sz val="8.5"/>
        <color rgb="FF161616"/>
        <rFont val="Times New Roman"/>
        <family val="1"/>
      </rPr>
      <t>299-W22-85</t>
    </r>
  </si>
  <si>
    <r>
      <rPr>
        <sz val="8.5"/>
        <color rgb="FF161616"/>
        <rFont val="Times New Roman"/>
        <family val="1"/>
      </rPr>
      <t>299-W22-86</t>
    </r>
  </si>
  <si>
    <r>
      <rPr>
        <sz val="8.5"/>
        <color rgb="FF161616"/>
        <rFont val="Times New Roman"/>
        <family val="1"/>
      </rPr>
      <t>299-W22-87</t>
    </r>
  </si>
  <si>
    <r>
      <rPr>
        <sz val="8.5"/>
        <color rgb="FF161616"/>
        <rFont val="Times New Roman"/>
        <family val="1"/>
      </rPr>
      <t>299-W22-88</t>
    </r>
  </si>
  <si>
    <r>
      <rPr>
        <sz val="8.5"/>
        <color rgb="FF161616"/>
        <rFont val="Times New Roman"/>
        <family val="1"/>
      </rPr>
      <t>299-W22-89</t>
    </r>
  </si>
  <si>
    <r>
      <rPr>
        <sz val="8.5"/>
        <color rgb="FF161616"/>
        <rFont val="Times New Roman"/>
        <family val="1"/>
      </rPr>
      <t>299-W22-9</t>
    </r>
  </si>
  <si>
    <r>
      <rPr>
        <sz val="8.5"/>
        <color rgb="FF161616"/>
        <rFont val="Times New Roman"/>
        <family val="1"/>
      </rPr>
      <t>299-W22-90</t>
    </r>
  </si>
  <si>
    <r>
      <rPr>
        <sz val="8.5"/>
        <color rgb="FF161616"/>
        <rFont val="Times New Roman"/>
        <family val="1"/>
      </rPr>
      <t>UU</t>
    </r>
    <r>
      <rPr>
        <sz val="8.5"/>
        <color rgb="FF4B4B4B"/>
        <rFont val="Times New Roman"/>
        <family val="1"/>
      </rPr>
      <t>/</t>
    </r>
    <r>
      <rPr>
        <sz val="8.5"/>
        <color rgb="FF161616"/>
        <rFont val="Times New Roman"/>
        <family val="1"/>
      </rPr>
      <t>MU</t>
    </r>
  </si>
  <si>
    <r>
      <rPr>
        <sz val="8.5"/>
        <color rgb="FF161616"/>
        <rFont val="Times New Roman"/>
        <family val="1"/>
      </rPr>
      <t>299-W22-91</t>
    </r>
  </si>
  <si>
    <r>
      <rPr>
        <sz val="8.5"/>
        <color rgb="FF161616"/>
        <rFont val="Times New Roman"/>
        <family val="1"/>
      </rPr>
      <t>299-W22-92</t>
    </r>
  </si>
  <si>
    <r>
      <rPr>
        <sz val="8.5"/>
        <color rgb="FF161616"/>
        <rFont val="Times New Roman"/>
        <family val="1"/>
      </rPr>
      <t>299-W22-93</t>
    </r>
  </si>
  <si>
    <r>
      <rPr>
        <sz val="8.5"/>
        <color rgb="FF161616"/>
        <rFont val="Times New Roman"/>
        <family val="1"/>
      </rPr>
      <t>299-W22-94</t>
    </r>
  </si>
  <si>
    <r>
      <rPr>
        <sz val="8.5"/>
        <color rgb="FF161616"/>
        <rFont val="Times New Roman"/>
        <family val="1"/>
      </rPr>
      <t>299-W22-95</t>
    </r>
  </si>
  <si>
    <r>
      <rPr>
        <sz val="8.5"/>
        <color rgb="FF161616"/>
        <rFont val="Times New Roman"/>
        <family val="1"/>
      </rPr>
      <t>299-W22-96</t>
    </r>
  </si>
  <si>
    <r>
      <rPr>
        <sz val="8.5"/>
        <color rgb="FF161616"/>
        <rFont val="Times New Roman"/>
        <family val="1"/>
      </rPr>
      <t>299-W23-15</t>
    </r>
  </si>
  <si>
    <r>
      <rPr>
        <sz val="8.5"/>
        <color rgb="FF161616"/>
        <rFont val="Times New Roman"/>
        <family val="1"/>
      </rPr>
      <t>299-W23-19</t>
    </r>
  </si>
  <si>
    <r>
      <rPr>
        <sz val="8.5"/>
        <color rgb="FF161616"/>
        <rFont val="Times New Roman"/>
        <family val="1"/>
      </rPr>
      <t>299-W23-20</t>
    </r>
  </si>
  <si>
    <r>
      <rPr>
        <sz val="8.5"/>
        <color rgb="FF161616"/>
        <rFont val="Times New Roman"/>
        <family val="1"/>
      </rPr>
      <t>299-W26-13</t>
    </r>
  </si>
  <si>
    <r>
      <rPr>
        <sz val="8.5"/>
        <color rgb="FF2A2A2A"/>
        <rFont val="Times New Roman"/>
        <family val="1"/>
      </rPr>
      <t>UU/MU</t>
    </r>
  </si>
  <si>
    <r>
      <rPr>
        <sz val="8.5"/>
        <color rgb="FF161616"/>
        <rFont val="Times New Roman"/>
        <family val="1"/>
      </rPr>
      <t>299-W26-14</t>
    </r>
  </si>
  <si>
    <r>
      <rPr>
        <sz val="8.5"/>
        <color rgb="FF161616"/>
        <rFont val="Times New Roman"/>
        <family val="1"/>
      </rPr>
      <t>299-W27-2</t>
    </r>
  </si>
  <si>
    <r>
      <rPr>
        <sz val="8.5"/>
        <color rgb="FF161616"/>
        <rFont val="Times New Roman"/>
        <family val="1"/>
      </rPr>
      <t>200-ZP-l</t>
    </r>
  </si>
  <si>
    <r>
      <rPr>
        <sz val="8.5"/>
        <color rgb="FF161616"/>
        <rFont val="Times New Roman"/>
        <family val="1"/>
      </rPr>
      <t>299-W5-2P</t>
    </r>
  </si>
  <si>
    <r>
      <rPr>
        <sz val="8.5"/>
        <color rgb="FF161616"/>
        <rFont val="Times New Roman"/>
        <family val="1"/>
      </rPr>
      <t>299-W5-2Q</t>
    </r>
  </si>
  <si>
    <r>
      <rPr>
        <sz val="8.5"/>
        <color rgb="FF161616"/>
        <rFont val="Times New Roman"/>
        <family val="1"/>
      </rPr>
      <t>LU</t>
    </r>
    <r>
      <rPr>
        <sz val="8.5"/>
        <color rgb="FF444444"/>
        <rFont val="Times New Roman"/>
        <family val="1"/>
      </rPr>
      <t>/</t>
    </r>
    <r>
      <rPr>
        <sz val="8.5"/>
        <color rgb="FF2A2A2A"/>
        <rFont val="Times New Roman"/>
        <family val="1"/>
      </rPr>
      <t>CR</t>
    </r>
  </si>
  <si>
    <r>
      <rPr>
        <sz val="8.5"/>
        <color rgb="FF161616"/>
        <rFont val="Times New Roman"/>
        <family val="1"/>
      </rPr>
      <t>299-W6-l l</t>
    </r>
  </si>
  <si>
    <r>
      <rPr>
        <sz val="8.5"/>
        <color rgb="FF161616"/>
        <rFont val="Times New Roman"/>
        <family val="1"/>
      </rPr>
      <t>299-W6-12</t>
    </r>
  </si>
  <si>
    <r>
      <rPr>
        <sz val="8.5"/>
        <color rgb="FF161616"/>
        <rFont val="Times New Roman"/>
        <family val="1"/>
      </rPr>
      <t>299-W6-15</t>
    </r>
  </si>
  <si>
    <r>
      <rPr>
        <sz val="8.5"/>
        <color rgb="FF161616"/>
        <rFont val="Times New Roman"/>
        <family val="1"/>
      </rPr>
      <t>299-W6-17</t>
    </r>
  </si>
  <si>
    <r>
      <rPr>
        <sz val="8.5"/>
        <color rgb="FF161616"/>
        <rFont val="Times New Roman"/>
        <family val="1"/>
      </rPr>
      <t>LU</t>
    </r>
    <r>
      <rPr>
        <sz val="8.5"/>
        <color rgb="FF444444"/>
        <rFont val="Times New Roman"/>
        <family val="1"/>
      </rPr>
      <t>/</t>
    </r>
    <r>
      <rPr>
        <sz val="8.5"/>
        <color rgb="FF161616"/>
        <rFont val="Times New Roman"/>
        <family val="1"/>
      </rPr>
      <t>CR</t>
    </r>
  </si>
  <si>
    <r>
      <rPr>
        <sz val="8.5"/>
        <color rgb="FF161616"/>
        <rFont val="Times New Roman"/>
        <family val="1"/>
      </rPr>
      <t>299-W6-3</t>
    </r>
  </si>
  <si>
    <r>
      <rPr>
        <sz val="8.5"/>
        <color rgb="FF161616"/>
        <rFont val="Times New Roman"/>
        <family val="1"/>
      </rPr>
      <t>299-W6-6</t>
    </r>
  </si>
  <si>
    <r>
      <rPr>
        <sz val="8.5"/>
        <color rgb="FF161616"/>
        <rFont val="Times New Roman"/>
        <family val="1"/>
      </rPr>
      <t>299-W7-3</t>
    </r>
  </si>
  <si>
    <r>
      <rPr>
        <sz val="8.5"/>
        <color rgb="FF161616"/>
        <rFont val="Times New Roman"/>
        <family val="1"/>
      </rPr>
      <t>200-ZP-1</t>
    </r>
  </si>
  <si>
    <r>
      <rPr>
        <sz val="8.5"/>
        <color rgb="FF161616"/>
        <rFont val="Times New Roman"/>
        <family val="1"/>
      </rPr>
      <t>299-W8-l</t>
    </r>
  </si>
  <si>
    <r>
      <rPr>
        <sz val="8.5"/>
        <color rgb="FF161616"/>
        <rFont val="Times New Roman"/>
        <family val="1"/>
      </rPr>
      <t>UU</t>
    </r>
    <r>
      <rPr>
        <sz val="8.5"/>
        <color rgb="FF464646"/>
        <rFont val="Times New Roman"/>
        <family val="1"/>
      </rPr>
      <t>/</t>
    </r>
    <r>
      <rPr>
        <sz val="8.5"/>
        <color rgb="FF161616"/>
        <rFont val="Times New Roman"/>
        <family val="1"/>
      </rPr>
      <t>MU</t>
    </r>
  </si>
  <si>
    <r>
      <rPr>
        <sz val="8.5"/>
        <color rgb="FF161616"/>
        <rFont val="Times New Roman"/>
        <family val="1"/>
      </rPr>
      <t>299-W9-2</t>
    </r>
  </si>
  <si>
    <r>
      <rPr>
        <sz val="8.5"/>
        <color rgb="FF161616"/>
        <rFont val="Times New Roman"/>
        <family val="1"/>
      </rPr>
      <t>699-17-70</t>
    </r>
  </si>
  <si>
    <r>
      <rPr>
        <sz val="8.5"/>
        <color rgb="FF161616"/>
        <rFont val="Times New Roman"/>
        <family val="1"/>
      </rPr>
      <t>Perforated casing 70-130 ft and 130-170 ft</t>
    </r>
  </si>
  <si>
    <r>
      <rPr>
        <sz val="8.5"/>
        <color rgb="FF161616"/>
        <rFont val="Times New Roman"/>
        <family val="1"/>
      </rPr>
      <t>699-25-70</t>
    </r>
  </si>
  <si>
    <r>
      <rPr>
        <sz val="8.5"/>
        <color rgb="FF161616"/>
        <rFont val="Times New Roman"/>
        <family val="1"/>
      </rPr>
      <t>699-25-80</t>
    </r>
  </si>
  <si>
    <r>
      <rPr>
        <sz val="8.5"/>
        <color rgb="FF161616"/>
        <rFont val="Times New Roman"/>
        <family val="1"/>
      </rPr>
      <t>699-26-89</t>
    </r>
  </si>
  <si>
    <r>
      <rPr>
        <sz val="8.5"/>
        <color rgb="FF161616"/>
        <rFont val="Times New Roman"/>
        <family val="1"/>
      </rPr>
      <t>699-27-68</t>
    </r>
  </si>
  <si>
    <r>
      <rPr>
        <sz val="8.5"/>
        <color rgb="FF161616"/>
        <rFont val="Times New Roman"/>
        <family val="1"/>
      </rPr>
      <t>699-29-66</t>
    </r>
  </si>
  <si>
    <r>
      <rPr>
        <sz val="8.5"/>
        <color rgb="FF161616"/>
        <rFont val="Times New Roman"/>
        <family val="1"/>
      </rPr>
      <t>699-30-57</t>
    </r>
  </si>
  <si>
    <r>
      <rPr>
        <sz val="8.5"/>
        <color rgb="FF161616"/>
        <rFont val="Times New Roman"/>
        <family val="1"/>
      </rPr>
      <t>200-PO-1</t>
    </r>
  </si>
  <si>
    <r>
      <rPr>
        <sz val="8.5"/>
        <color rgb="FF161616"/>
        <rFont val="Times New Roman"/>
        <family val="1"/>
      </rPr>
      <t>699-30-63</t>
    </r>
  </si>
  <si>
    <r>
      <rPr>
        <sz val="8.5"/>
        <color rgb="FF161616"/>
        <rFont val="Times New Roman"/>
        <family val="1"/>
      </rPr>
      <t>UU</t>
    </r>
    <r>
      <rPr>
        <sz val="8.5"/>
        <color rgb="FF444444"/>
        <rFont val="Times New Roman"/>
        <family val="1"/>
      </rPr>
      <t>/</t>
    </r>
    <r>
      <rPr>
        <sz val="8.5"/>
        <color rgb="FF161616"/>
        <rFont val="Times New Roman"/>
        <family val="1"/>
      </rPr>
      <t>MU</t>
    </r>
  </si>
  <si>
    <r>
      <rPr>
        <sz val="8.5"/>
        <color rgb="FF161616"/>
        <rFont val="Times New Roman"/>
        <family val="1"/>
      </rPr>
      <t>699-30-66</t>
    </r>
  </si>
  <si>
    <r>
      <rPr>
        <sz val="8.5"/>
        <color rgb="FF161616"/>
        <rFont val="Times New Roman"/>
        <family val="1"/>
      </rPr>
      <t>699-30-70</t>
    </r>
  </si>
  <si>
    <r>
      <rPr>
        <sz val="8.5"/>
        <color rgb="FF161616"/>
        <rFont val="Times New Roman"/>
        <family val="1"/>
      </rPr>
      <t>699-30-73</t>
    </r>
  </si>
  <si>
    <r>
      <rPr>
        <sz val="8.5"/>
        <color rgb="FF161616"/>
        <rFont val="Times New Roman"/>
        <family val="1"/>
      </rPr>
      <t>699-31-68</t>
    </r>
  </si>
  <si>
    <r>
      <rPr>
        <sz val="8.5"/>
        <color rgb="FF161616"/>
        <rFont val="Times New Roman"/>
        <family val="1"/>
      </rPr>
      <t>699-32-59</t>
    </r>
  </si>
  <si>
    <r>
      <rPr>
        <sz val="8.5"/>
        <color rgb="FF161616"/>
        <rFont val="Times New Roman"/>
        <family val="1"/>
      </rPr>
      <t>699-32-62</t>
    </r>
  </si>
  <si>
    <r>
      <rPr>
        <sz val="8.5"/>
        <color rgb="FF161616"/>
        <rFont val="Times New Roman"/>
        <family val="1"/>
      </rPr>
      <t>699-32-62P</t>
    </r>
  </si>
  <si>
    <r>
      <rPr>
        <sz val="8.5"/>
        <color rgb="FF161616"/>
        <rFont val="Times New Roman"/>
        <family val="1"/>
      </rPr>
      <t>699-32-64</t>
    </r>
  </si>
  <si>
    <r>
      <rPr>
        <sz val="8.5"/>
        <color rgb="FF161616"/>
        <rFont val="Times New Roman"/>
        <family val="1"/>
      </rPr>
      <t>699-32-70B</t>
    </r>
  </si>
  <si>
    <r>
      <rPr>
        <sz val="8.5"/>
        <color rgb="FF161616"/>
        <rFont val="Times New Roman"/>
        <family val="1"/>
      </rPr>
      <t>699-32-72A</t>
    </r>
  </si>
  <si>
    <r>
      <rPr>
        <sz val="8.5"/>
        <color rgb="FF161616"/>
        <rFont val="Times New Roman"/>
        <family val="1"/>
      </rPr>
      <t>699-32-72B</t>
    </r>
  </si>
  <si>
    <r>
      <rPr>
        <sz val="8.5"/>
        <color rgb="FF161616"/>
        <rFont val="Times New Roman"/>
        <family val="1"/>
      </rPr>
      <t>699-32-76</t>
    </r>
  </si>
  <si>
    <r>
      <rPr>
        <sz val="8.5"/>
        <color rgb="FF161616"/>
        <rFont val="Times New Roman"/>
        <family val="1"/>
      </rPr>
      <t>699-33-56</t>
    </r>
  </si>
  <si>
    <r>
      <rPr>
        <sz val="8.5"/>
        <color rgb="FF161616"/>
        <rFont val="Times New Roman"/>
        <family val="1"/>
      </rPr>
      <t>200-PO-l</t>
    </r>
  </si>
  <si>
    <r>
      <rPr>
        <sz val="8.5"/>
        <color rgb="FF161616"/>
        <rFont val="Times New Roman"/>
        <family val="1"/>
      </rPr>
      <t>699-33-74</t>
    </r>
  </si>
  <si>
    <r>
      <rPr>
        <sz val="8.5"/>
        <color rgb="FF161616"/>
        <rFont val="Times New Roman"/>
        <family val="1"/>
      </rPr>
      <t>699-33-75</t>
    </r>
  </si>
  <si>
    <r>
      <rPr>
        <sz val="8.5"/>
        <color rgb="FF161616"/>
        <rFont val="Times New Roman"/>
        <family val="1"/>
      </rPr>
      <t>699-33-76</t>
    </r>
  </si>
  <si>
    <r>
      <rPr>
        <sz val="8.5"/>
        <color rgb="FF161616"/>
        <rFont val="Times New Roman"/>
        <family val="1"/>
      </rPr>
      <t>699-34-61</t>
    </r>
  </si>
  <si>
    <r>
      <rPr>
        <sz val="8.5"/>
        <color rgb="FF161616"/>
        <rFont val="Times New Roman"/>
        <family val="1"/>
      </rPr>
      <t>699-34-72</t>
    </r>
  </si>
  <si>
    <r>
      <rPr>
        <sz val="8.5"/>
        <color rgb="FF161616"/>
        <rFont val="Times New Roman"/>
        <family val="1"/>
      </rPr>
      <t>699-34-88</t>
    </r>
  </si>
  <si>
    <r>
      <rPr>
        <sz val="8.5"/>
        <color rgb="FF161616"/>
        <rFont val="Times New Roman"/>
        <family val="1"/>
      </rPr>
      <t>699-35-59</t>
    </r>
  </si>
  <si>
    <r>
      <rPr>
        <sz val="8.5"/>
        <color rgb="FF161616"/>
        <rFont val="Times New Roman"/>
        <family val="1"/>
      </rPr>
      <t>699-35-66A</t>
    </r>
  </si>
  <si>
    <r>
      <rPr>
        <sz val="8.5"/>
        <color rgb="FF161616"/>
        <rFont val="Times New Roman"/>
        <family val="1"/>
      </rPr>
      <t>699-35-70</t>
    </r>
  </si>
  <si>
    <r>
      <rPr>
        <sz val="8.5"/>
        <color rgb="FF161616"/>
        <rFont val="Times New Roman"/>
        <family val="1"/>
      </rPr>
      <t>699-35-78A</t>
    </r>
  </si>
  <si>
    <r>
      <rPr>
        <sz val="8.5"/>
        <color rgb="FF161616"/>
        <rFont val="Times New Roman"/>
        <family val="1"/>
      </rPr>
      <t>699-36-61A</t>
    </r>
  </si>
  <si>
    <r>
      <rPr>
        <sz val="8.5"/>
        <color rgb="FF161616"/>
        <rFont val="Times New Roman"/>
        <family val="1"/>
      </rPr>
      <t>699-36-63B</t>
    </r>
  </si>
  <si>
    <r>
      <rPr>
        <sz val="8.5"/>
        <color rgb="FF161616"/>
        <rFont val="Times New Roman"/>
        <family val="1"/>
      </rPr>
      <t>699-36-65</t>
    </r>
  </si>
  <si>
    <r>
      <rPr>
        <sz val="8.5"/>
        <color rgb="FF161616"/>
        <rFont val="Times New Roman"/>
        <family val="1"/>
      </rPr>
      <t>699-36-66B</t>
    </r>
  </si>
  <si>
    <r>
      <rPr>
        <sz val="8.5"/>
        <color rgb="FF161616"/>
        <rFont val="Times New Roman"/>
        <family val="1"/>
      </rPr>
      <t>699-36-70A</t>
    </r>
  </si>
  <si>
    <r>
      <rPr>
        <sz val="8.5"/>
        <color rgb="FF161616"/>
        <rFont val="Times New Roman"/>
        <family val="1"/>
      </rPr>
      <t>699-36-70B</t>
    </r>
  </si>
  <si>
    <r>
      <rPr>
        <sz val="8.5"/>
        <color rgb="FF161616"/>
        <rFont val="Times New Roman"/>
        <family val="1"/>
      </rPr>
      <t>699-37-66</t>
    </r>
  </si>
  <si>
    <r>
      <rPr>
        <sz val="8.5"/>
        <color rgb="FF161616"/>
        <rFont val="Times New Roman"/>
        <family val="1"/>
      </rPr>
      <t>699-37-67</t>
    </r>
  </si>
  <si>
    <r>
      <rPr>
        <sz val="8.5"/>
        <color rgb="FF161616"/>
        <rFont val="Times New Roman"/>
        <family val="1"/>
      </rPr>
      <t>699-38-61</t>
    </r>
  </si>
  <si>
    <r>
      <rPr>
        <sz val="8.5"/>
        <color rgb="FF161616"/>
        <rFont val="Times New Roman"/>
        <family val="1"/>
      </rPr>
      <t>699-38-64B</t>
    </r>
  </si>
  <si>
    <r>
      <rPr>
        <sz val="8.5"/>
        <color rgb="FF161616"/>
        <rFont val="Times New Roman"/>
        <family val="1"/>
      </rPr>
      <t>699-38-65</t>
    </r>
  </si>
  <si>
    <r>
      <rPr>
        <sz val="8.5"/>
        <color rgb="FF161616"/>
        <rFont val="Times New Roman"/>
        <family val="1"/>
      </rPr>
      <t>699-38-68A</t>
    </r>
  </si>
  <si>
    <r>
      <rPr>
        <sz val="8.5"/>
        <color rgb="FF161616"/>
        <rFont val="Times New Roman"/>
        <family val="1"/>
      </rPr>
      <t>699-38-70</t>
    </r>
  </si>
  <si>
    <r>
      <rPr>
        <sz val="8.5"/>
        <color rgb="FF161616"/>
        <rFont val="Times New Roman"/>
        <family val="1"/>
      </rPr>
      <t>699-38-70B</t>
    </r>
  </si>
  <si>
    <r>
      <rPr>
        <sz val="8.5"/>
        <color rgb="FF161616"/>
        <rFont val="Times New Roman"/>
        <family val="1"/>
      </rPr>
      <t>699-38-70C</t>
    </r>
  </si>
  <si>
    <r>
      <rPr>
        <sz val="8.5"/>
        <color rgb="FF151515"/>
        <rFont val="Times New Roman"/>
        <family val="1"/>
      </rPr>
      <t>699-39-68</t>
    </r>
  </si>
  <si>
    <r>
      <rPr>
        <sz val="8.5"/>
        <color rgb="FF151515"/>
        <rFont val="Times New Roman"/>
        <family val="1"/>
      </rPr>
      <t>200-UP-l</t>
    </r>
  </si>
  <si>
    <r>
      <rPr>
        <sz val="8.5"/>
        <color rgb="FF151515"/>
        <rFont val="Times New Roman"/>
        <family val="1"/>
      </rPr>
      <t>699-39-79</t>
    </r>
  </si>
  <si>
    <r>
      <rPr>
        <sz val="8.5"/>
        <color rgb="FF151515"/>
        <rFont val="Times New Roman"/>
        <family val="1"/>
      </rPr>
      <t>699-40-62</t>
    </r>
  </si>
  <si>
    <r>
      <rPr>
        <sz val="8.5"/>
        <color rgb="FF151515"/>
        <rFont val="Times New Roman"/>
        <family val="1"/>
      </rPr>
      <t>699-40-65</t>
    </r>
  </si>
  <si>
    <r>
      <rPr>
        <sz val="8.5"/>
        <color rgb="FF151515"/>
        <rFont val="Times New Roman"/>
        <family val="1"/>
      </rPr>
      <t>699-43-89</t>
    </r>
  </si>
  <si>
    <r>
      <rPr>
        <sz val="8.5"/>
        <color rgb="FF151515"/>
        <rFont val="Times New Roman"/>
        <family val="1"/>
      </rPr>
      <t>699-44-64</t>
    </r>
  </si>
  <si>
    <r>
      <rPr>
        <sz val="8.5"/>
        <color rgb="FF151515"/>
        <rFont val="Times New Roman"/>
        <family val="1"/>
      </rPr>
      <t>200-ZP-l</t>
    </r>
  </si>
  <si>
    <r>
      <rPr>
        <sz val="8.5"/>
        <color rgb="FF151515"/>
        <rFont val="Times New Roman"/>
        <family val="1"/>
      </rPr>
      <t>699-44-70B</t>
    </r>
  </si>
  <si>
    <r>
      <rPr>
        <sz val="8.5"/>
        <color rgb="FF151515"/>
        <rFont val="Times New Roman"/>
        <family val="1"/>
      </rPr>
      <t>LU</t>
    </r>
    <r>
      <rPr>
        <sz val="8.5"/>
        <color rgb="FF484848"/>
        <rFont val="Times New Roman"/>
        <family val="1"/>
      </rPr>
      <t>/</t>
    </r>
    <r>
      <rPr>
        <sz val="8.5"/>
        <color rgb="FF151515"/>
        <rFont val="Times New Roman"/>
        <family val="1"/>
      </rPr>
      <t>CR</t>
    </r>
  </si>
  <si>
    <r>
      <rPr>
        <sz val="8.5"/>
        <color rgb="FF151515"/>
        <rFont val="Times New Roman"/>
        <family val="1"/>
      </rPr>
      <t>699-45-69A</t>
    </r>
  </si>
  <si>
    <r>
      <rPr>
        <sz val="8.5"/>
        <color rgb="FF151515"/>
        <rFont val="Times New Roman"/>
        <family val="1"/>
      </rPr>
      <t>699-45-69C</t>
    </r>
  </si>
  <si>
    <r>
      <rPr>
        <sz val="8.5"/>
        <color rgb="FF151515"/>
        <rFont val="Times New Roman"/>
        <family val="1"/>
      </rPr>
      <t>699-46-61</t>
    </r>
  </si>
  <si>
    <r>
      <rPr>
        <sz val="8.5"/>
        <color rgb="FF151515"/>
        <rFont val="Times New Roman"/>
        <family val="1"/>
      </rPr>
      <t>699-47-60</t>
    </r>
  </si>
  <si>
    <r>
      <rPr>
        <sz val="8.5"/>
        <color rgb="FF151515"/>
        <rFont val="Times New Roman"/>
        <family val="1"/>
      </rPr>
      <t>200-ZP-1</t>
    </r>
  </si>
  <si>
    <r>
      <rPr>
        <sz val="8.5"/>
        <color rgb="FF151515"/>
        <rFont val="Times New Roman"/>
        <family val="1"/>
      </rPr>
      <t>LU</t>
    </r>
    <r>
      <rPr>
        <sz val="8.5"/>
        <color rgb="FF444444"/>
        <rFont val="Times New Roman"/>
        <family val="1"/>
      </rPr>
      <t>/</t>
    </r>
    <r>
      <rPr>
        <sz val="8.5"/>
        <color rgb="FF2A2A2A"/>
        <rFont val="Times New Roman"/>
        <family val="1"/>
      </rPr>
      <t>CR</t>
    </r>
  </si>
  <si>
    <r>
      <rPr>
        <sz val="8.5"/>
        <color rgb="FF151515"/>
        <rFont val="Times New Roman"/>
        <family val="1"/>
      </rPr>
      <t>699-48-71</t>
    </r>
  </si>
  <si>
    <r>
      <rPr>
        <sz val="8.5"/>
        <color rgb="FF151515"/>
        <rFont val="Times New Roman"/>
        <family val="1"/>
      </rPr>
      <t>699-48-77C</t>
    </r>
  </si>
  <si>
    <r>
      <rPr>
        <sz val="8.5"/>
        <color rgb="FF151515"/>
        <rFont val="Times New Roman"/>
        <family val="1"/>
      </rPr>
      <t>699-48-77D</t>
    </r>
  </si>
  <si>
    <r>
      <rPr>
        <sz val="8.5"/>
        <color rgb="FF151515"/>
        <rFont val="Times New Roman"/>
        <family val="1"/>
      </rPr>
      <t>699-48-96</t>
    </r>
  </si>
  <si>
    <r>
      <rPr>
        <sz val="8.5"/>
        <color rgb="FF151515"/>
        <rFont val="Times New Roman"/>
        <family val="1"/>
      </rPr>
      <t>LU</t>
    </r>
    <r>
      <rPr>
        <sz val="8.5"/>
        <color rgb="FF444444"/>
        <rFont val="Times New Roman"/>
        <family val="1"/>
      </rPr>
      <t>/</t>
    </r>
    <r>
      <rPr>
        <sz val="8.5"/>
        <color rgb="FF151515"/>
        <rFont val="Times New Roman"/>
        <family val="1"/>
      </rPr>
      <t>CR</t>
    </r>
  </si>
  <si>
    <r>
      <rPr>
        <sz val="8.5"/>
        <color rgb="FF151515"/>
        <rFont val="Times New Roman"/>
        <family val="1"/>
      </rPr>
      <t>699-49-79</t>
    </r>
  </si>
  <si>
    <r>
      <rPr>
        <sz val="8.5"/>
        <color rgb="FF151515"/>
        <rFont val="Times New Roman"/>
        <family val="1"/>
      </rPr>
      <t>UU</t>
    </r>
    <r>
      <rPr>
        <sz val="8.5"/>
        <color rgb="FF444444"/>
        <rFont val="Times New Roman"/>
        <family val="1"/>
      </rPr>
      <t>/</t>
    </r>
    <r>
      <rPr>
        <sz val="8.5"/>
        <color rgb="FF151515"/>
        <rFont val="Times New Roman"/>
        <family val="1"/>
      </rPr>
      <t>MU</t>
    </r>
  </si>
  <si>
    <r>
      <rPr>
        <sz val="8.5"/>
        <color rgb="FF151515"/>
        <rFont val="Times New Roman"/>
        <family val="1"/>
      </rPr>
      <t>699-50-74</t>
    </r>
  </si>
  <si>
    <r>
      <rPr>
        <sz val="8.5"/>
        <color rgb="FF151515"/>
        <rFont val="Times New Roman"/>
        <family val="1"/>
      </rPr>
      <t>699-51-63</t>
    </r>
  </si>
  <si>
    <r>
      <rPr>
        <sz val="8.5"/>
        <color rgb="FF151515"/>
        <rFont val="Times New Roman"/>
        <family val="1"/>
      </rPr>
      <t>699-51-75</t>
    </r>
  </si>
  <si>
    <r>
      <rPr>
        <sz val="8.5"/>
        <color rgb="FF151515"/>
        <rFont val="Times New Roman"/>
        <family val="1"/>
      </rPr>
      <t>699-51-75P</t>
    </r>
  </si>
  <si>
    <r>
      <rPr>
        <sz val="8.5"/>
        <color rgb="FF151515"/>
        <rFont val="Times New Roman"/>
        <family val="1"/>
      </rPr>
      <t>699-55-76</t>
    </r>
  </si>
  <si>
    <r>
      <rPr>
        <sz val="8.5"/>
        <color rgb="FF212121"/>
        <rFont val="Times New Roman"/>
        <family val="1"/>
      </rPr>
      <t>UU/MU</t>
    </r>
  </si>
  <si>
    <t>299-W22-69</t>
  </si>
  <si>
    <t>GWIA</t>
  </si>
  <si>
    <t>EASTING</t>
  </si>
  <si>
    <t>NORTHING</t>
  </si>
  <si>
    <t>Well_Name</t>
  </si>
  <si>
    <t>Coordinate_Source</t>
  </si>
  <si>
    <t>HSU_Assignment</t>
  </si>
  <si>
    <t>Top_of_Basalt_m</t>
  </si>
  <si>
    <t>Top_of_Rwia_m</t>
  </si>
  <si>
    <t>Top_of_RLM_m</t>
  </si>
  <si>
    <t>Source_Elevation_Source</t>
  </si>
  <si>
    <t>MOS_m</t>
  </si>
  <si>
    <t>BOS_m</t>
  </si>
  <si>
    <t>TOS_m</t>
  </si>
  <si>
    <t>Elevation_m</t>
  </si>
  <si>
    <t>200-UP-l</t>
  </si>
  <si>
    <t>Misc_Notes</t>
  </si>
  <si>
    <t>Flag_to_Check</t>
  </si>
  <si>
    <t>True</t>
  </si>
  <si>
    <t>None</t>
  </si>
  <si>
    <t>False</t>
  </si>
  <si>
    <t>699-19-88</t>
  </si>
  <si>
    <t>HEIS Database</t>
  </si>
  <si>
    <t>Casing and open hole cement grouted in 1988 - 89</t>
  </si>
  <si>
    <t>Well Log- 699-25-80.pdf</t>
  </si>
  <si>
    <t xml:space="preserve">699-43-69 </t>
  </si>
  <si>
    <t xml:space="preserve">200-ZP-l  </t>
  </si>
  <si>
    <t>699-49- 100C</t>
  </si>
  <si>
    <r>
      <rPr>
        <sz val="8.5"/>
        <color rgb="FF151515"/>
        <rFont val="Times New Roman"/>
        <family val="1"/>
      </rPr>
      <t>Well Log- 699-47-80A</t>
    </r>
    <r>
      <rPr>
        <sz val="8.5"/>
        <color rgb="FF5E5E5E"/>
        <rFont val="Times New Roman"/>
        <family val="1"/>
      </rPr>
      <t>.</t>
    </r>
    <r>
      <rPr>
        <sz val="8.5"/>
        <color rgb="FF151515"/>
        <rFont val="Times New Roman"/>
        <family val="1"/>
      </rPr>
      <t>pdf</t>
    </r>
  </si>
  <si>
    <t>Well Log- 699-47-80A.pdf</t>
  </si>
  <si>
    <r>
      <rPr>
        <sz val="8.5"/>
        <color rgb="FF111111"/>
        <rFont val="Times New Roman"/>
        <family val="1"/>
      </rPr>
      <t>HEIS</t>
    </r>
    <r>
      <rPr>
        <sz val="8.5"/>
        <rFont val="Times New Roman"/>
        <family val="1"/>
      </rPr>
      <t xml:space="preserve"> Database</t>
    </r>
  </si>
  <si>
    <t>699-47-80AP</t>
  </si>
  <si>
    <t>699-47-80AQ</t>
  </si>
  <si>
    <t>Well Log- 699-17_70_NA_[W0022920].pdf</t>
  </si>
  <si>
    <t>UU/MU</t>
  </si>
  <si>
    <t>200-ZP-1</t>
  </si>
  <si>
    <t>200-UP-1</t>
  </si>
  <si>
    <t>299-W20-1</t>
  </si>
  <si>
    <t>299-W19-6</t>
  </si>
  <si>
    <t>299-W19-49</t>
  </si>
  <si>
    <t>299-W19-48</t>
  </si>
  <si>
    <t>299-W19-47</t>
  </si>
  <si>
    <t>299-W19-46</t>
  </si>
  <si>
    <t>299-W19-45</t>
  </si>
  <si>
    <t>299-W19-44</t>
  </si>
  <si>
    <t>299-W22-113</t>
  </si>
  <si>
    <r>
      <rPr>
        <sz val="8.5"/>
        <color rgb="FF161616"/>
        <rFont val="Times New Roman"/>
        <family val="1"/>
      </rPr>
      <t>299-W22-</t>
    </r>
    <r>
      <rPr>
        <sz val="8.5"/>
        <rFont val="Times New Roman"/>
        <family val="1"/>
      </rPr>
      <t>114</t>
    </r>
  </si>
  <si>
    <t>299-W22-115</t>
  </si>
  <si>
    <r>
      <rPr>
        <sz val="8.5"/>
        <color rgb="FF161616"/>
        <rFont val="Times New Roman"/>
        <family val="1"/>
      </rPr>
      <t>299-W22-</t>
    </r>
    <r>
      <rPr>
        <sz val="8.5"/>
        <rFont val="Times New Roman"/>
        <family val="1"/>
      </rPr>
      <t>116</t>
    </r>
  </si>
  <si>
    <t>299-W22-24P</t>
  </si>
  <si>
    <t>299-W22-24R</t>
  </si>
  <si>
    <t>299-W22-24S</t>
  </si>
  <si>
    <t>299-W22-24T</t>
  </si>
  <si>
    <t>299-W23-236</t>
  </si>
  <si>
    <t>299-W23-21</t>
  </si>
  <si>
    <t>299-W23-4</t>
  </si>
  <si>
    <t>299-W5-1</t>
  </si>
  <si>
    <t>299-W10-14</t>
  </si>
  <si>
    <t>299-W10-23</t>
  </si>
  <si>
    <t>299-W10-24</t>
  </si>
  <si>
    <t>299-W10-26</t>
  </si>
  <si>
    <t>299-W10-27</t>
  </si>
  <si>
    <t>299-W10-28</t>
  </si>
  <si>
    <t>299-W10-29</t>
  </si>
  <si>
    <t>299-W10-30</t>
  </si>
  <si>
    <t>299-W10-31</t>
  </si>
  <si>
    <t>299-W10-33</t>
  </si>
  <si>
    <t>299-W11-13</t>
  </si>
  <si>
    <t>299-W11-14</t>
  </si>
  <si>
    <t>299-W11-18</t>
  </si>
  <si>
    <t>299-W11-22</t>
  </si>
  <si>
    <t>299-W11-26</t>
  </si>
  <si>
    <t>299-W11-
33Q</t>
  </si>
  <si>
    <t>299-W11-39</t>
  </si>
  <si>
    <t>299-W11-41</t>
  </si>
  <si>
    <t>299-W11-42</t>
  </si>
  <si>
    <t>299-W11-43</t>
  </si>
  <si>
    <t>299-W11-45</t>
  </si>
  <si>
    <t>299-W11-47</t>
  </si>
  <si>
    <t>299-W11-48</t>
  </si>
  <si>
    <t>299-W11-49</t>
  </si>
  <si>
    <t>299-W11-50</t>
  </si>
  <si>
    <t>299-W11-87</t>
  </si>
  <si>
    <t>299-W11-88</t>
  </si>
  <si>
    <t>299-W11-90</t>
  </si>
  <si>
    <t>299-W11-92</t>
  </si>
  <si>
    <t>299-W12-2</t>
  </si>
  <si>
    <t>299-W12-3</t>
  </si>
  <si>
    <t>299-W12-4</t>
  </si>
  <si>
    <t>299-W13-1</t>
  </si>
  <si>
    <t>299-W13-2P</t>
  </si>
  <si>
    <t>299-W13-
2Q</t>
  </si>
  <si>
    <t>299-W14-l l</t>
  </si>
  <si>
    <t>299-W14-13</t>
  </si>
  <si>
    <t>299-W14-14</t>
  </si>
  <si>
    <t>299-W14-15</t>
  </si>
  <si>
    <t>299-W14-16</t>
  </si>
  <si>
    <t>299-W14-17</t>
  </si>
  <si>
    <t>299-W14-18</t>
  </si>
  <si>
    <t>299-Wl4-19</t>
  </si>
  <si>
    <t>299-Wl4-20</t>
  </si>
  <si>
    <t>299-Wl4-21</t>
  </si>
  <si>
    <t>299-W14-22</t>
  </si>
  <si>
    <t>299-W14-71</t>
  </si>
  <si>
    <t>299-W14-72</t>
  </si>
  <si>
    <t>299-W14-73</t>
  </si>
  <si>
    <t>299-W14-74</t>
  </si>
  <si>
    <t>299-W15-1</t>
  </si>
  <si>
    <t>299-W15-l1</t>
  </si>
  <si>
    <t>299-W15-
152</t>
  </si>
  <si>
    <t>299-W15-17</t>
  </si>
  <si>
    <t>299-W15-
224</t>
  </si>
  <si>
    <t>299-W15-
225</t>
  </si>
  <si>
    <t>299-W15-3</t>
  </si>
  <si>
    <t>299-W15-30</t>
  </si>
  <si>
    <t>299-W15-
31A</t>
  </si>
  <si>
    <t>299-W15-33</t>
  </si>
  <si>
    <t>299-Wl5-34</t>
  </si>
  <si>
    <t>299-Wl5-36</t>
  </si>
  <si>
    <t>299-W15-37</t>
  </si>
  <si>
    <t>299-W15-40</t>
  </si>
  <si>
    <t>299-W15-42</t>
  </si>
  <si>
    <t>299-W15-43</t>
  </si>
  <si>
    <t>299-W15-44</t>
  </si>
  <si>
    <t>299-W15-46</t>
  </si>
  <si>
    <t>299-W15-47</t>
  </si>
  <si>
    <t>299-W15-49</t>
  </si>
  <si>
    <t>299-W15-50</t>
  </si>
  <si>
    <t>299-W15-7</t>
  </si>
  <si>
    <t>299-W15-
763</t>
  </si>
  <si>
    <t>299-W15-
765</t>
  </si>
  <si>
    <t>299-W15-83</t>
  </si>
  <si>
    <t>299-W15-94</t>
  </si>
  <si>
    <t>299-W17-1</t>
  </si>
  <si>
    <t>299-W17-2</t>
  </si>
  <si>
    <t>299-W17-3</t>
  </si>
  <si>
    <t>299-W18-1</t>
  </si>
  <si>
    <t>299-W18-15</t>
  </si>
  <si>
    <t>299-W18-16</t>
  </si>
  <si>
    <t>299-W18-21</t>
  </si>
  <si>
    <t>299-W18-22</t>
  </si>
  <si>
    <t>299-W18-
260</t>
  </si>
  <si>
    <t xml:space="preserve">299-W18-40 </t>
  </si>
  <si>
    <t>299-W18-6</t>
  </si>
  <si>
    <t>299-W18-7</t>
  </si>
  <si>
    <t>299-W19-
101</t>
  </si>
  <si>
    <t>299-W19-
105</t>
  </si>
  <si>
    <t>299-W19-
107</t>
  </si>
  <si>
    <t>299-W19-
114</t>
  </si>
  <si>
    <t>299-Wl9-
115</t>
  </si>
  <si>
    <t>299-W19-
116</t>
  </si>
  <si>
    <t>299-W19-12</t>
  </si>
  <si>
    <t>299-W19-
123</t>
  </si>
  <si>
    <t>299-W19-
125</t>
  </si>
  <si>
    <t>299-W19-
126</t>
  </si>
  <si>
    <t>299-W19-
131</t>
  </si>
  <si>
    <t>299-W19-18</t>
  </si>
  <si>
    <t>299-W19-
34A</t>
  </si>
  <si>
    <t>299-W19-
34B</t>
  </si>
  <si>
    <t>299-W19-35</t>
  </si>
  <si>
    <t>299-W19-36</t>
  </si>
  <si>
    <t>299-W19-39</t>
  </si>
  <si>
    <t>299-W19-4</t>
  </si>
  <si>
    <t>299-W19-41</t>
  </si>
  <si>
    <t>299-W19-42</t>
  </si>
  <si>
    <t xml:space="preserve">299-W19-43 </t>
  </si>
  <si>
    <t>200-ZP-l</t>
  </si>
  <si>
    <t xml:space="preserve"> 200-ZP-l</t>
  </si>
  <si>
    <t>200-UP-I</t>
  </si>
  <si>
    <t>84.l</t>
  </si>
  <si>
    <t>82.l</t>
  </si>
  <si>
    <t>132.l</t>
  </si>
  <si>
    <t>LU/CR</t>
  </si>
  <si>
    <t>Well Log-
299_W11_22
_NA_[W0034
135].pdf</t>
  </si>
  <si>
    <t>Log reports no perforation or screened interval;
candidate for decommissioning;</t>
  </si>
  <si>
    <t>Well Log-299-W11-26_NA_[N07
374807].pdf</t>
  </si>
  <si>
    <t>-</t>
  </si>
  <si>
    <t>84. l</t>
  </si>
  <si>
    <t>52.l</t>
  </si>
  <si>
    <t>75. l</t>
  </si>
  <si>
    <t>13 l.l</t>
  </si>
  <si>
    <t>No screened interval; perforated casing 0-85,
100-115, and 190-298 ft</t>
  </si>
  <si>
    <t>Well Log- 299- WIS- 6-
NA_[W00288
82].pdf</t>
  </si>
  <si>
    <t>299-W10-l</t>
  </si>
  <si>
    <t>299-W11-40</t>
  </si>
  <si>
    <t>299-W19-113</t>
  </si>
  <si>
    <t>299-W11-96</t>
  </si>
  <si>
    <t>299-W11-46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</si>
</sst>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color rgb="FF000000"/>
      <name val="Times New Roman"/>
      <charset val="204"/>
    </font>
    <font>
      <sz val="8.5"/>
      <color rgb="FF161616"/>
      <name val="Times New Roman"/>
      <family val="1"/>
    </font>
    <font>
      <sz val="8.5"/>
      <color rgb="FF494949"/>
      <name val="Times New Roman"/>
      <family val="1"/>
    </font>
    <font>
      <sz val="8.5"/>
      <name val="Times New Roman"/>
      <family val="1"/>
    </font>
    <font>
      <sz val="8.5"/>
      <color rgb="FF4B4B4B"/>
      <name val="Times New Roman"/>
      <family val="1"/>
    </font>
    <font>
      <sz val="8.5"/>
      <color rgb="FF444444"/>
      <name val="Times New Roman"/>
      <family val="1"/>
    </font>
    <font>
      <sz val="8.5"/>
      <color rgb="FF2A2A2A"/>
      <name val="Times New Roman"/>
      <family val="1"/>
    </font>
    <font>
      <sz val="8.5"/>
      <color rgb="FF464646"/>
      <name val="Times New Roman"/>
      <family val="1"/>
    </font>
    <font>
      <sz val="8.5"/>
      <color rgb="FF151515"/>
      <name val="Times New Roman"/>
      <family val="1"/>
    </font>
    <font>
      <sz val="8.5"/>
      <color rgb="FF484848"/>
      <name val="Times New Roman"/>
      <family val="1"/>
    </font>
    <font>
      <sz val="8.5"/>
      <color rgb="FF5E5E5E"/>
      <name val="Times New Roman"/>
      <family val="1"/>
    </font>
    <font>
      <sz val="8.5"/>
      <color rgb="FF212121"/>
      <name val="Times New Roman"/>
      <family val="1"/>
    </font>
    <font>
      <sz val="8.5"/>
      <color rgb="FF000000"/>
      <name val="Times New Roman"/>
      <family val="1"/>
    </font>
    <font>
      <sz val="8.5"/>
      <color rgb="FF11111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quotePrefix="1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8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top" wrapText="1"/>
    </xf>
    <xf numFmtId="0" fontId="1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12" fillId="0" borderId="1" xfId="0" quotePrefix="1" applyFont="1" applyBorder="1" applyAlignment="1">
      <alignment horizontal="left" vertical="top"/>
    </xf>
    <xf numFmtId="1" fontId="1" fillId="0" borderId="1" xfId="0" applyNumberFormat="1" applyFont="1" applyBorder="1" applyAlignment="1">
      <alignment vertical="top" shrinkToFit="1"/>
    </xf>
    <xf numFmtId="1" fontId="12" fillId="0" borderId="1" xfId="0" applyNumberFormat="1" applyFont="1" applyBorder="1" applyAlignment="1">
      <alignment vertical="top" shrinkToFit="1"/>
    </xf>
    <xf numFmtId="1" fontId="1" fillId="0" borderId="1" xfId="0" applyNumberFormat="1" applyFont="1" applyBorder="1" applyAlignment="1">
      <alignment vertical="center" shrinkToFit="1"/>
    </xf>
    <xf numFmtId="1" fontId="8" fillId="0" borderId="1" xfId="0" applyNumberFormat="1" applyFont="1" applyBorder="1" applyAlignment="1">
      <alignment vertical="top" shrinkToFit="1"/>
    </xf>
    <xf numFmtId="0" fontId="12" fillId="0" borderId="1" xfId="0" applyFont="1" applyBorder="1" applyAlignment="1">
      <alignment horizontal="left" vertical="top"/>
    </xf>
    <xf numFmtId="0" fontId="12" fillId="0" borderId="1" xfId="0" applyFont="1" applyBorder="1" applyAlignment="1">
      <alignment horizontal="left" vertical="top" wrapText="1"/>
    </xf>
    <xf numFmtId="0" fontId="12" fillId="0" borderId="1" xfId="0" applyFont="1" applyBorder="1" applyAlignment="1">
      <alignment horizontal="left" vertical="center" wrapText="1"/>
    </xf>
    <xf numFmtId="2" fontId="1" fillId="0" borderId="1" xfId="0" applyNumberFormat="1" applyFont="1" applyBorder="1" applyAlignment="1">
      <alignment vertical="top" shrinkToFit="1"/>
    </xf>
    <xf numFmtId="2" fontId="1" fillId="0" borderId="1" xfId="0" applyNumberFormat="1" applyFont="1" applyBorder="1" applyAlignment="1">
      <alignment horizontal="center" vertical="top" shrinkToFit="1"/>
    </xf>
    <xf numFmtId="2" fontId="12" fillId="0" borderId="1" xfId="0" applyNumberFormat="1" applyFont="1" applyBorder="1" applyAlignment="1">
      <alignment vertical="top" shrinkToFit="1"/>
    </xf>
    <xf numFmtId="2" fontId="12" fillId="0" borderId="1" xfId="0" applyNumberFormat="1" applyFont="1" applyBorder="1" applyAlignment="1">
      <alignment horizontal="center" vertical="top" shrinkToFit="1"/>
    </xf>
    <xf numFmtId="2" fontId="12" fillId="0" borderId="1" xfId="0" applyNumberFormat="1" applyFont="1" applyBorder="1" applyAlignment="1">
      <alignment vertical="top" wrapText="1"/>
    </xf>
    <xf numFmtId="2" fontId="1" fillId="0" borderId="1" xfId="0" applyNumberFormat="1" applyFont="1" applyBorder="1" applyAlignment="1">
      <alignment horizontal="center" vertical="center" shrinkToFit="1"/>
    </xf>
    <xf numFmtId="2" fontId="1" fillId="0" borderId="1" xfId="0" applyNumberFormat="1" applyFont="1" applyBorder="1" applyAlignment="1">
      <alignment vertical="center" shrinkToFit="1"/>
    </xf>
    <xf numFmtId="2" fontId="12" fillId="0" borderId="1" xfId="0" applyNumberFormat="1" applyFont="1" applyBorder="1" applyAlignment="1">
      <alignment vertical="center" shrinkToFit="1"/>
    </xf>
    <xf numFmtId="2" fontId="1" fillId="0" borderId="1" xfId="0" applyNumberFormat="1" applyFont="1" applyBorder="1" applyAlignment="1">
      <alignment vertical="top" wrapText="1"/>
    </xf>
    <xf numFmtId="2" fontId="12" fillId="0" borderId="1" xfId="0" applyNumberFormat="1" applyFont="1" applyBorder="1" applyAlignment="1">
      <alignment vertical="top"/>
    </xf>
    <xf numFmtId="2" fontId="3" fillId="0" borderId="1" xfId="0" applyNumberFormat="1" applyFont="1" applyBorder="1" applyAlignment="1">
      <alignment vertical="top" wrapText="1"/>
    </xf>
    <xf numFmtId="2" fontId="8" fillId="0" borderId="1" xfId="0" applyNumberFormat="1" applyFont="1" applyBorder="1" applyAlignment="1">
      <alignment vertical="top" shrinkToFit="1"/>
    </xf>
    <xf numFmtId="2" fontId="8" fillId="0" borderId="1" xfId="0" applyNumberFormat="1" applyFont="1" applyBorder="1" applyAlignment="1">
      <alignment vertical="top" wrapText="1"/>
    </xf>
    <xf numFmtId="2" fontId="13" fillId="0" borderId="1" xfId="0" applyNumberFormat="1" applyFont="1" applyBorder="1" applyAlignment="1">
      <alignment vertical="center" shrinkToFit="1"/>
    </xf>
    <xf numFmtId="2" fontId="12" fillId="0" borderId="1" xfId="0" applyNumberFormat="1" applyFont="1" applyBorder="1" applyAlignment="1">
      <alignment vertical="center" wrapText="1"/>
    </xf>
    <xf numFmtId="2" fontId="6" fillId="0" borderId="1" xfId="0" applyNumberFormat="1" applyFont="1" applyBorder="1" applyAlignment="1">
      <alignment vertical="top" shrinkToFit="1"/>
    </xf>
    <xf numFmtId="2" fontId="1" fillId="0" borderId="1" xfId="0" applyNumberFormat="1" applyFont="1" applyBorder="1" applyAlignment="1">
      <alignment horizontal="left" vertical="center" shrinkToFit="1"/>
    </xf>
    <xf numFmtId="2" fontId="1" fillId="0" borderId="1" xfId="0" applyNumberFormat="1" applyFont="1" applyBorder="1" applyAlignment="1">
      <alignment horizontal="left" vertical="top" shrinkToFit="1"/>
    </xf>
    <xf numFmtId="0" fontId="12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8665464" y="70533065"/>
    <xdr:ext cx="455675" cy="5824728"/>
    <xdr:pic>
      <xdr:nvPicPr>
        <xdr:cNvPr id="84" name="image1.png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455675" cy="5824728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7"/>
  <sheetViews>
    <sheetView tabSelected="1" topLeftCell="A142" zoomScale="115" zoomScaleNormal="115" workbookViewId="0">
      <selection activeCell="A26" sqref="A26"/>
    </sheetView>
  </sheetViews>
  <sheetFormatPr defaultRowHeight="13.5" customHeight="1" x14ac:dyDescent="0.2"/>
  <cols>
    <col min="1" max="1" width="15.83203125" bestFit="1" customWidth="1"/>
    <col min="2" max="2" width="9.33203125" bestFit="1" customWidth="1"/>
    <col min="3" max="3" width="10.33203125" bestFit="1" customWidth="1"/>
    <col min="4" max="4" width="12.33203125" bestFit="1" customWidth="1"/>
    <col min="5" max="5" width="18.6640625" bestFit="1" customWidth="1"/>
    <col min="6" max="6" width="12.1640625" bestFit="1" customWidth="1"/>
    <col min="7" max="9" width="12.5" bestFit="1" customWidth="1"/>
    <col min="10" max="10" width="47.5" bestFit="1" customWidth="1"/>
    <col min="11" max="11" width="16.33203125" bestFit="1" customWidth="1"/>
    <col min="12" max="12" width="16.1640625" bestFit="1" customWidth="1"/>
    <col min="13" max="13" width="17.5" bestFit="1" customWidth="1"/>
    <col min="14" max="14" width="17.6640625" bestFit="1" customWidth="1"/>
    <col min="15" max="15" width="66" bestFit="1" customWidth="1"/>
    <col min="16" max="16" width="14.83203125" bestFit="1" customWidth="1"/>
  </cols>
  <sheetData>
    <row r="1" spans="1:16" ht="13.5" customHeight="1" x14ac:dyDescent="0.2">
      <c r="A1" s="1" t="s">
        <v>140</v>
      </c>
      <c r="B1" s="1" t="s">
        <v>137</v>
      </c>
      <c r="C1" s="1" t="s">
        <v>138</v>
      </c>
      <c r="D1" s="1" t="s">
        <v>139</v>
      </c>
      <c r="E1" s="1" t="s">
        <v>141</v>
      </c>
      <c r="F1" s="1" t="s">
        <v>150</v>
      </c>
      <c r="G1" s="1" t="s">
        <v>149</v>
      </c>
      <c r="H1" t="s">
        <v>148</v>
      </c>
      <c r="I1" s="1" t="s">
        <v>147</v>
      </c>
      <c r="J1" s="1" t="s">
        <v>146</v>
      </c>
      <c r="K1" s="1" t="s">
        <v>145</v>
      </c>
      <c r="L1" s="1" t="s">
        <v>144</v>
      </c>
      <c r="M1" s="1" t="s">
        <v>143</v>
      </c>
      <c r="N1" s="1" t="s">
        <v>142</v>
      </c>
      <c r="O1" t="s">
        <v>152</v>
      </c>
      <c r="P1" t="s">
        <v>153</v>
      </c>
    </row>
    <row r="2" spans="1:16" ht="13.5" customHeight="1" x14ac:dyDescent="0.2">
      <c r="A2" s="37" t="s">
        <v>319</v>
      </c>
      <c r="B2" s="37" t="s">
        <v>302</v>
      </c>
      <c r="C2" s="37">
        <v>566663</v>
      </c>
      <c r="D2" s="37">
        <v>136735</v>
      </c>
      <c r="E2" s="2" t="s">
        <v>158</v>
      </c>
      <c r="F2" s="37">
        <v>206.7</v>
      </c>
      <c r="G2" s="16">
        <v>148.80000000000001</v>
      </c>
      <c r="H2" s="16">
        <v>124.4</v>
      </c>
      <c r="I2" s="16">
        <v>136.6</v>
      </c>
      <c r="J2" s="2" t="s">
        <v>158</v>
      </c>
      <c r="K2" s="16" t="s">
        <v>305</v>
      </c>
      <c r="L2" s="16">
        <v>75.7</v>
      </c>
      <c r="M2" s="16">
        <v>57.7</v>
      </c>
      <c r="N2" s="16" t="s">
        <v>170</v>
      </c>
      <c r="O2" s="16" t="s">
        <v>155</v>
      </c>
      <c r="P2" s="11" t="s">
        <v>156</v>
      </c>
    </row>
    <row r="3" spans="1:16" ht="13.5" customHeight="1" x14ac:dyDescent="0.2">
      <c r="A3" s="37" t="s">
        <v>193</v>
      </c>
      <c r="B3" s="37" t="s">
        <v>171</v>
      </c>
      <c r="C3" s="37">
        <v>566017</v>
      </c>
      <c r="D3" s="37">
        <v>136609</v>
      </c>
      <c r="E3" s="2" t="s">
        <v>158</v>
      </c>
      <c r="F3" s="37">
        <v>213.6</v>
      </c>
      <c r="G3" s="16">
        <v>83.4</v>
      </c>
      <c r="H3" s="16">
        <v>77.3</v>
      </c>
      <c r="I3" s="16">
        <v>80.400000000000006</v>
      </c>
      <c r="J3" s="2" t="s">
        <v>158</v>
      </c>
      <c r="K3" s="16">
        <v>77.2</v>
      </c>
      <c r="L3" s="16">
        <v>61.2</v>
      </c>
      <c r="M3" s="16">
        <v>49</v>
      </c>
      <c r="N3" s="16" t="s">
        <v>170</v>
      </c>
      <c r="O3" s="16" t="s">
        <v>155</v>
      </c>
      <c r="P3" s="11" t="s">
        <v>156</v>
      </c>
    </row>
    <row r="4" spans="1:16" ht="13.5" customHeight="1" x14ac:dyDescent="0.2">
      <c r="A4" s="37" t="s">
        <v>194</v>
      </c>
      <c r="B4" s="37" t="s">
        <v>302</v>
      </c>
      <c r="C4" s="37">
        <v>566824</v>
      </c>
      <c r="D4" s="37">
        <v>136815</v>
      </c>
      <c r="E4" s="2" t="s">
        <v>158</v>
      </c>
      <c r="F4" s="37">
        <v>206.7</v>
      </c>
      <c r="G4" s="16">
        <v>137.9</v>
      </c>
      <c r="H4" s="16">
        <v>127.2</v>
      </c>
      <c r="I4" s="16">
        <v>132.5</v>
      </c>
      <c r="J4" s="2" t="s">
        <v>158</v>
      </c>
      <c r="K4" s="16">
        <v>85.7</v>
      </c>
      <c r="L4" s="16">
        <v>80.8</v>
      </c>
      <c r="M4" s="16">
        <v>59.6</v>
      </c>
      <c r="N4" s="16" t="s">
        <v>170</v>
      </c>
      <c r="O4" s="16" t="s">
        <v>155</v>
      </c>
      <c r="P4" s="11" t="s">
        <v>156</v>
      </c>
    </row>
    <row r="5" spans="1:16" ht="13.5" customHeight="1" x14ac:dyDescent="0.2">
      <c r="A5" s="37" t="s">
        <v>195</v>
      </c>
      <c r="B5" s="37" t="s">
        <v>302</v>
      </c>
      <c r="C5" s="37">
        <v>566885</v>
      </c>
      <c r="D5" s="37">
        <v>136799</v>
      </c>
      <c r="E5" s="2" t="s">
        <v>158</v>
      </c>
      <c r="F5" s="37">
        <v>209</v>
      </c>
      <c r="G5" s="16">
        <v>138</v>
      </c>
      <c r="H5" s="16">
        <v>127.3</v>
      </c>
      <c r="I5" s="16">
        <v>132.6</v>
      </c>
      <c r="J5" s="2" t="s">
        <v>158</v>
      </c>
      <c r="K5" s="16">
        <v>85.5</v>
      </c>
      <c r="L5" s="16" t="s">
        <v>306</v>
      </c>
      <c r="M5" s="16">
        <v>59.8</v>
      </c>
      <c r="N5" s="16" t="s">
        <v>170</v>
      </c>
      <c r="O5" s="16" t="s">
        <v>155</v>
      </c>
      <c r="P5" s="11" t="s">
        <v>156</v>
      </c>
    </row>
    <row r="6" spans="1:16" ht="13.5" customHeight="1" x14ac:dyDescent="0.2">
      <c r="A6" s="37" t="s">
        <v>196</v>
      </c>
      <c r="B6" s="37" t="s">
        <v>171</v>
      </c>
      <c r="C6" s="37">
        <v>566843</v>
      </c>
      <c r="D6" s="37">
        <v>136401</v>
      </c>
      <c r="E6" s="2" t="s">
        <v>158</v>
      </c>
      <c r="F6" s="37">
        <v>204.7</v>
      </c>
      <c r="G6" s="16">
        <v>138.5</v>
      </c>
      <c r="H6" s="16">
        <v>127.8</v>
      </c>
      <c r="I6" s="16">
        <v>133.19999999999999</v>
      </c>
      <c r="J6" s="2" t="s">
        <v>158</v>
      </c>
      <c r="K6" s="16">
        <v>82.6</v>
      </c>
      <c r="L6" s="16">
        <v>73.099999999999994</v>
      </c>
      <c r="M6" s="16">
        <v>57.3</v>
      </c>
      <c r="N6" s="16" t="s">
        <v>170</v>
      </c>
      <c r="O6" s="16" t="s">
        <v>155</v>
      </c>
      <c r="P6" s="11" t="s">
        <v>156</v>
      </c>
    </row>
    <row r="7" spans="1:16" ht="13.5" customHeight="1" x14ac:dyDescent="0.2">
      <c r="A7" s="37" t="s">
        <v>197</v>
      </c>
      <c r="B7" s="37" t="s">
        <v>302</v>
      </c>
      <c r="C7" s="37">
        <v>566844</v>
      </c>
      <c r="D7" s="37">
        <v>136442</v>
      </c>
      <c r="E7" s="2" t="s">
        <v>158</v>
      </c>
      <c r="F7" s="37">
        <v>204.9</v>
      </c>
      <c r="G7" s="16">
        <v>137.5</v>
      </c>
      <c r="H7" s="16">
        <v>126.9</v>
      </c>
      <c r="I7" s="16">
        <v>132.19999999999999</v>
      </c>
      <c r="J7" s="2" t="s">
        <v>158</v>
      </c>
      <c r="K7" s="16">
        <v>83.2</v>
      </c>
      <c r="L7" s="16">
        <v>73.900000000000006</v>
      </c>
      <c r="M7" s="16">
        <v>57.6</v>
      </c>
      <c r="N7" s="16" t="s">
        <v>170</v>
      </c>
      <c r="O7" s="16" t="s">
        <v>155</v>
      </c>
      <c r="P7" s="11" t="s">
        <v>156</v>
      </c>
    </row>
    <row r="8" spans="1:16" ht="13.5" customHeight="1" x14ac:dyDescent="0.2">
      <c r="A8" s="37" t="s">
        <v>198</v>
      </c>
      <c r="B8" s="37" t="s">
        <v>302</v>
      </c>
      <c r="C8" s="37">
        <v>566702</v>
      </c>
      <c r="D8" s="37">
        <v>136710</v>
      </c>
      <c r="E8" s="2" t="s">
        <v>158</v>
      </c>
      <c r="F8" s="37">
        <v>206.1</v>
      </c>
      <c r="G8" s="16">
        <v>137.5</v>
      </c>
      <c r="H8" s="16">
        <v>126.8</v>
      </c>
      <c r="I8" s="16" t="s">
        <v>307</v>
      </c>
      <c r="J8" s="2" t="s">
        <v>158</v>
      </c>
      <c r="K8" s="16">
        <v>84.4</v>
      </c>
      <c r="L8" s="16">
        <v>76.2</v>
      </c>
      <c r="M8" s="16">
        <v>57.9</v>
      </c>
      <c r="N8" s="16" t="s">
        <v>170</v>
      </c>
      <c r="O8" s="16" t="s">
        <v>155</v>
      </c>
      <c r="P8" s="11" t="s">
        <v>156</v>
      </c>
    </row>
    <row r="9" spans="1:16" ht="13.5" customHeight="1" x14ac:dyDescent="0.2">
      <c r="A9" s="37" t="s">
        <v>199</v>
      </c>
      <c r="B9" s="37" t="s">
        <v>171</v>
      </c>
      <c r="C9" s="37">
        <v>566083</v>
      </c>
      <c r="D9" s="37">
        <v>136829</v>
      </c>
      <c r="E9" s="2" t="s">
        <v>158</v>
      </c>
      <c r="F9" s="37">
        <v>211.6</v>
      </c>
      <c r="G9" s="16">
        <v>136.9</v>
      </c>
      <c r="H9" s="16">
        <v>126.3</v>
      </c>
      <c r="I9" s="16">
        <v>131.6</v>
      </c>
      <c r="J9" s="2" t="s">
        <v>158</v>
      </c>
      <c r="K9" s="16">
        <v>76.400000000000006</v>
      </c>
      <c r="L9" s="16">
        <v>63.5</v>
      </c>
      <c r="M9" s="16">
        <v>52.5</v>
      </c>
      <c r="N9" s="16" t="s">
        <v>170</v>
      </c>
      <c r="O9" s="16" t="s">
        <v>155</v>
      </c>
      <c r="P9" s="11" t="s">
        <v>156</v>
      </c>
    </row>
    <row r="10" spans="1:16" ht="13.5" customHeight="1" x14ac:dyDescent="0.2">
      <c r="A10" s="37" t="s">
        <v>200</v>
      </c>
      <c r="B10" s="37" t="s">
        <v>171</v>
      </c>
      <c r="C10" s="37">
        <v>566083</v>
      </c>
      <c r="D10" s="37">
        <v>136739</v>
      </c>
      <c r="E10" s="2" t="s">
        <v>158</v>
      </c>
      <c r="F10" s="37">
        <v>210.9</v>
      </c>
      <c r="G10" s="16">
        <v>137</v>
      </c>
      <c r="H10" s="16">
        <v>126.3</v>
      </c>
      <c r="I10" s="16">
        <v>131.69999999999999</v>
      </c>
      <c r="J10" s="2" t="s">
        <v>158</v>
      </c>
      <c r="K10" s="16">
        <v>77</v>
      </c>
      <c r="L10" s="16">
        <v>63</v>
      </c>
      <c r="M10" s="16">
        <v>51.5</v>
      </c>
      <c r="N10" s="16" t="s">
        <v>170</v>
      </c>
      <c r="O10" s="16" t="s">
        <v>155</v>
      </c>
      <c r="P10" s="11" t="s">
        <v>156</v>
      </c>
    </row>
    <row r="11" spans="1:16" ht="13.5" customHeight="1" x14ac:dyDescent="0.2">
      <c r="A11" s="37" t="s">
        <v>201</v>
      </c>
      <c r="B11" s="37" t="s">
        <v>302</v>
      </c>
      <c r="C11" s="37">
        <v>566266</v>
      </c>
      <c r="D11" s="37">
        <v>136968</v>
      </c>
      <c r="E11" s="2" t="s">
        <v>158</v>
      </c>
      <c r="F11" s="37">
        <v>209.7</v>
      </c>
      <c r="G11" s="16">
        <v>136.5</v>
      </c>
      <c r="H11" s="16">
        <v>125.8</v>
      </c>
      <c r="I11" s="16">
        <v>131.19999999999999</v>
      </c>
      <c r="J11" s="2" t="s">
        <v>158</v>
      </c>
      <c r="K11" s="16">
        <v>78.599999999999994</v>
      </c>
      <c r="L11" s="16">
        <v>69.400000000000006</v>
      </c>
      <c r="M11" s="16">
        <v>56.4</v>
      </c>
      <c r="N11" s="16" t="s">
        <v>170</v>
      </c>
      <c r="O11" s="16" t="s">
        <v>155</v>
      </c>
      <c r="P11" s="11" t="s">
        <v>156</v>
      </c>
    </row>
    <row r="12" spans="1:16" ht="13.5" customHeight="1" x14ac:dyDescent="0.2">
      <c r="A12" s="37" t="s">
        <v>202</v>
      </c>
      <c r="B12" s="37" t="s">
        <v>171</v>
      </c>
      <c r="C12" s="37">
        <v>566773</v>
      </c>
      <c r="D12" s="37">
        <v>136610</v>
      </c>
      <c r="E12" s="2" t="s">
        <v>158</v>
      </c>
      <c r="F12" s="37">
        <v>205.2</v>
      </c>
      <c r="G12" s="16">
        <v>86.3</v>
      </c>
      <c r="H12" s="16">
        <v>80.2</v>
      </c>
      <c r="I12" s="16">
        <v>83.3</v>
      </c>
      <c r="J12" s="2" t="s">
        <v>158</v>
      </c>
      <c r="K12" s="16">
        <v>84.7</v>
      </c>
      <c r="L12" s="16">
        <v>76</v>
      </c>
      <c r="M12" s="16">
        <v>57.7</v>
      </c>
      <c r="N12" s="16" t="s">
        <v>308</v>
      </c>
      <c r="O12" s="16" t="s">
        <v>155</v>
      </c>
      <c r="P12" s="11" t="s">
        <v>156</v>
      </c>
    </row>
    <row r="13" spans="1:16" ht="13.5" customHeight="1" x14ac:dyDescent="0.2">
      <c r="A13" s="37" t="s">
        <v>203</v>
      </c>
      <c r="B13" s="37" t="s">
        <v>302</v>
      </c>
      <c r="C13" s="37">
        <v>567099</v>
      </c>
      <c r="D13" s="37">
        <v>136424</v>
      </c>
      <c r="E13" s="2" t="s">
        <v>158</v>
      </c>
      <c r="F13" s="37">
        <v>211.3</v>
      </c>
      <c r="G13" s="16">
        <v>144.80000000000001</v>
      </c>
      <c r="H13" s="16">
        <v>125.2</v>
      </c>
      <c r="I13" s="16">
        <v>135</v>
      </c>
      <c r="J13" s="2" t="s">
        <v>158</v>
      </c>
      <c r="K13" s="16">
        <v>77.7</v>
      </c>
      <c r="L13" s="16">
        <v>72.8</v>
      </c>
      <c r="M13" s="16">
        <v>60.4</v>
      </c>
      <c r="N13" s="16" t="s">
        <v>170</v>
      </c>
      <c r="O13" s="16" t="s">
        <v>155</v>
      </c>
      <c r="P13" s="11" t="s">
        <v>156</v>
      </c>
    </row>
    <row r="14" spans="1:16" ht="13.5" customHeight="1" x14ac:dyDescent="0.2">
      <c r="A14" s="37" t="s">
        <v>204</v>
      </c>
      <c r="B14" s="37" t="s">
        <v>302</v>
      </c>
      <c r="C14" s="37">
        <v>567458</v>
      </c>
      <c r="D14" s="37">
        <v>136914</v>
      </c>
      <c r="E14" s="2" t="s">
        <v>158</v>
      </c>
      <c r="F14" s="37">
        <v>219</v>
      </c>
      <c r="G14" s="16">
        <v>142.80000000000001</v>
      </c>
      <c r="H14" s="16">
        <v>123.6</v>
      </c>
      <c r="I14" s="16">
        <v>133.19999999999999</v>
      </c>
      <c r="J14" s="2" t="s">
        <v>158</v>
      </c>
      <c r="K14" s="16">
        <v>-9999</v>
      </c>
      <c r="L14" s="16">
        <v>86.5</v>
      </c>
      <c r="M14" s="16">
        <v>65.400000000000006</v>
      </c>
      <c r="N14" s="16" t="s">
        <v>170</v>
      </c>
      <c r="O14" s="16" t="s">
        <v>155</v>
      </c>
      <c r="P14" s="11" t="s">
        <v>156</v>
      </c>
    </row>
    <row r="15" spans="1:16" ht="13.5" customHeight="1" x14ac:dyDescent="0.2">
      <c r="A15" s="37" t="s">
        <v>205</v>
      </c>
      <c r="B15" s="37" t="s">
        <v>303</v>
      </c>
      <c r="C15" s="37">
        <v>567182</v>
      </c>
      <c r="D15" s="37">
        <v>137161</v>
      </c>
      <c r="E15" s="2" t="s">
        <v>158</v>
      </c>
      <c r="F15" s="37">
        <v>215.7</v>
      </c>
      <c r="G15" s="16">
        <v>146.5</v>
      </c>
      <c r="H15" s="16">
        <v>125.8</v>
      </c>
      <c r="I15" s="16">
        <v>136.19999999999999</v>
      </c>
      <c r="J15" s="2" t="s">
        <v>158</v>
      </c>
      <c r="K15" s="16">
        <v>-9999</v>
      </c>
      <c r="L15" s="16">
        <v>86.7</v>
      </c>
      <c r="M15" s="16">
        <v>67</v>
      </c>
      <c r="N15" s="16" t="s">
        <v>170</v>
      </c>
      <c r="O15" s="16" t="s">
        <v>155</v>
      </c>
      <c r="P15" s="11" t="s">
        <v>156</v>
      </c>
    </row>
    <row r="16" spans="1:16" ht="13.5" customHeight="1" x14ac:dyDescent="0.2">
      <c r="A16" s="37" t="s">
        <v>206</v>
      </c>
      <c r="B16" s="37" t="s">
        <v>302</v>
      </c>
      <c r="C16" s="37">
        <v>567269</v>
      </c>
      <c r="D16" s="37">
        <v>136673</v>
      </c>
      <c r="E16" s="2" t="s">
        <v>158</v>
      </c>
      <c r="F16" s="37">
        <v>215.7</v>
      </c>
      <c r="G16" s="16">
        <v>139.5</v>
      </c>
      <c r="H16" s="16">
        <v>128.6</v>
      </c>
      <c r="I16" s="16">
        <v>134.1</v>
      </c>
      <c r="J16" s="16" t="s">
        <v>309</v>
      </c>
      <c r="K16" s="16">
        <v>-9999</v>
      </c>
      <c r="L16" s="16">
        <v>79.7</v>
      </c>
      <c r="M16" s="16">
        <v>60.6</v>
      </c>
      <c r="N16" s="16" t="s">
        <v>170</v>
      </c>
      <c r="O16" s="16" t="s">
        <v>155</v>
      </c>
      <c r="P16" s="11" t="s">
        <v>156</v>
      </c>
    </row>
    <row r="17" spans="1:16" ht="13.5" customHeight="1" x14ac:dyDescent="0.2">
      <c r="A17" s="37" t="s">
        <v>207</v>
      </c>
      <c r="B17" s="37" t="s">
        <v>171</v>
      </c>
      <c r="C17" s="37">
        <v>567045</v>
      </c>
      <c r="D17" s="37">
        <v>136564</v>
      </c>
      <c r="E17" s="2" t="s">
        <v>158</v>
      </c>
      <c r="F17" s="37">
        <v>213.1</v>
      </c>
      <c r="H17" s="16"/>
      <c r="I17" s="16"/>
      <c r="J17" s="16" t="s">
        <v>311</v>
      </c>
      <c r="K17" s="16">
        <v>85.5</v>
      </c>
      <c r="L17" s="16">
        <v>80.7</v>
      </c>
      <c r="M17" s="16">
        <v>59.4</v>
      </c>
      <c r="N17" s="16" t="s">
        <v>312</v>
      </c>
      <c r="O17" s="16" t="s">
        <v>310</v>
      </c>
      <c r="P17" s="11" t="s">
        <v>154</v>
      </c>
    </row>
    <row r="18" spans="1:16" ht="13.5" customHeight="1" x14ac:dyDescent="0.2">
      <c r="A18" s="37" t="s">
        <v>208</v>
      </c>
      <c r="B18" s="37" t="s">
        <v>171</v>
      </c>
      <c r="C18" s="37">
        <v>567185</v>
      </c>
      <c r="D18" s="37">
        <v>136844</v>
      </c>
      <c r="E18" s="2" t="s">
        <v>158</v>
      </c>
      <c r="F18" s="37">
        <v>216.3</v>
      </c>
      <c r="G18" s="16">
        <v>127.4</v>
      </c>
      <c r="H18" s="16">
        <v>126.5</v>
      </c>
      <c r="I18" s="16">
        <v>126.9</v>
      </c>
      <c r="J18" s="2" t="s">
        <v>158</v>
      </c>
      <c r="K18" s="16">
        <v>-9999</v>
      </c>
      <c r="L18" s="16">
        <v>85.8</v>
      </c>
      <c r="M18" s="16">
        <v>62.2</v>
      </c>
      <c r="N18" s="16" t="s">
        <v>170</v>
      </c>
      <c r="O18" s="16" t="s">
        <v>155</v>
      </c>
      <c r="P18" s="11" t="s">
        <v>156</v>
      </c>
    </row>
    <row r="19" spans="1:16" ht="13.5" customHeight="1" x14ac:dyDescent="0.2">
      <c r="A19" s="37" t="s">
        <v>209</v>
      </c>
      <c r="B19" s="37" t="s">
        <v>302</v>
      </c>
      <c r="C19" s="37">
        <v>566908</v>
      </c>
      <c r="D19" s="37">
        <v>136780</v>
      </c>
      <c r="E19" s="2" t="s">
        <v>158</v>
      </c>
      <c r="F19" s="37">
        <v>209.9</v>
      </c>
      <c r="G19" s="16">
        <v>137.19999999999999</v>
      </c>
      <c r="H19" s="16">
        <v>126.5</v>
      </c>
      <c r="I19" s="16">
        <v>131.80000000000001</v>
      </c>
      <c r="J19" s="2" t="s">
        <v>158</v>
      </c>
      <c r="K19" s="16">
        <v>85.4</v>
      </c>
      <c r="L19" s="16">
        <v>82.5</v>
      </c>
      <c r="M19" s="16">
        <v>59.8</v>
      </c>
      <c r="N19" s="16" t="s">
        <v>170</v>
      </c>
      <c r="O19" s="16" t="s">
        <v>155</v>
      </c>
      <c r="P19" s="11" t="s">
        <v>156</v>
      </c>
    </row>
    <row r="20" spans="1:16" ht="13.5" customHeight="1" x14ac:dyDescent="0.2">
      <c r="A20" s="37" t="s">
        <v>320</v>
      </c>
      <c r="B20" s="37" t="s">
        <v>302</v>
      </c>
      <c r="C20" s="37">
        <v>566927</v>
      </c>
      <c r="D20" s="37">
        <v>136710</v>
      </c>
      <c r="E20" s="2" t="s">
        <v>158</v>
      </c>
      <c r="F20" s="37">
        <v>209.7</v>
      </c>
      <c r="G20" s="16">
        <v>137.1</v>
      </c>
      <c r="H20" s="16">
        <v>126.4</v>
      </c>
      <c r="I20" s="16">
        <v>131.80000000000001</v>
      </c>
      <c r="J20" s="2" t="s">
        <v>158</v>
      </c>
      <c r="K20" s="16">
        <v>85.5</v>
      </c>
      <c r="L20" s="16">
        <v>81.8</v>
      </c>
      <c r="M20" s="16">
        <v>59.4</v>
      </c>
      <c r="N20" s="16" t="s">
        <v>170</v>
      </c>
      <c r="O20" s="16" t="s">
        <v>155</v>
      </c>
      <c r="P20" s="11" t="s">
        <v>156</v>
      </c>
    </row>
    <row r="21" spans="1:16" ht="13.5" customHeight="1" x14ac:dyDescent="0.2">
      <c r="A21" s="37" t="s">
        <v>210</v>
      </c>
      <c r="B21" s="37" t="s">
        <v>171</v>
      </c>
      <c r="C21" s="37">
        <v>566936</v>
      </c>
      <c r="D21" s="37">
        <v>136678</v>
      </c>
      <c r="E21" s="2" t="s">
        <v>158</v>
      </c>
      <c r="F21" s="37">
        <v>209.7</v>
      </c>
      <c r="G21" s="16">
        <v>137.5</v>
      </c>
      <c r="H21" s="16">
        <v>126.9</v>
      </c>
      <c r="I21" s="16">
        <v>132.19999999999999</v>
      </c>
      <c r="J21" s="2" t="s">
        <v>158</v>
      </c>
      <c r="K21" s="16">
        <v>85.5</v>
      </c>
      <c r="L21" s="16">
        <v>81.3</v>
      </c>
      <c r="M21" s="16">
        <v>59.2</v>
      </c>
      <c r="N21" s="16" t="s">
        <v>170</v>
      </c>
      <c r="O21" s="16" t="s">
        <v>155</v>
      </c>
      <c r="P21" s="11" t="s">
        <v>156</v>
      </c>
    </row>
    <row r="22" spans="1:16" ht="13.5" customHeight="1" x14ac:dyDescent="0.2">
      <c r="A22" s="37" t="s">
        <v>211</v>
      </c>
      <c r="B22" s="37" t="s">
        <v>171</v>
      </c>
      <c r="C22" s="37">
        <v>566920</v>
      </c>
      <c r="D22" s="37">
        <v>136746</v>
      </c>
      <c r="E22" s="2" t="s">
        <v>158</v>
      </c>
      <c r="F22" s="37">
        <v>210.2</v>
      </c>
      <c r="G22" s="16">
        <v>138</v>
      </c>
      <c r="H22" s="16">
        <v>127.3</v>
      </c>
      <c r="I22" s="16">
        <v>132.69999999999999</v>
      </c>
      <c r="J22" s="2" t="s">
        <v>158</v>
      </c>
      <c r="K22" s="16">
        <v>85.4</v>
      </c>
      <c r="L22" s="16">
        <v>82.3</v>
      </c>
      <c r="M22" s="16">
        <v>59.6</v>
      </c>
      <c r="N22" s="16" t="s">
        <v>170</v>
      </c>
      <c r="O22" s="16" t="s">
        <v>155</v>
      </c>
      <c r="P22" s="11" t="s">
        <v>156</v>
      </c>
    </row>
    <row r="23" spans="1:16" ht="13.5" customHeight="1" x14ac:dyDescent="0.2">
      <c r="A23" s="37" t="s">
        <v>212</v>
      </c>
      <c r="B23" s="37" t="s">
        <v>302</v>
      </c>
      <c r="C23" s="37">
        <v>567270</v>
      </c>
      <c r="D23" s="37">
        <v>136971</v>
      </c>
      <c r="E23" s="2" t="s">
        <v>158</v>
      </c>
      <c r="F23" s="37">
        <v>216.7</v>
      </c>
      <c r="G23" s="16">
        <v>87.3</v>
      </c>
      <c r="H23" s="16">
        <v>82.7</v>
      </c>
      <c r="I23" s="16">
        <v>85</v>
      </c>
      <c r="J23" s="2" t="s">
        <v>158</v>
      </c>
      <c r="K23" s="16">
        <v>-9999</v>
      </c>
      <c r="L23" s="16">
        <v>88.7</v>
      </c>
      <c r="M23" s="16">
        <v>64.7</v>
      </c>
      <c r="N23" s="16" t="s">
        <v>308</v>
      </c>
      <c r="O23" s="16" t="s">
        <v>155</v>
      </c>
      <c r="P23" s="11" t="s">
        <v>156</v>
      </c>
    </row>
    <row r="24" spans="1:16" ht="13.5" customHeight="1" x14ac:dyDescent="0.2">
      <c r="A24" s="37" t="s">
        <v>213</v>
      </c>
      <c r="B24" s="37" t="s">
        <v>171</v>
      </c>
      <c r="C24" s="37">
        <v>566993</v>
      </c>
      <c r="D24" s="37">
        <v>136776</v>
      </c>
      <c r="E24" s="2" t="s">
        <v>158</v>
      </c>
      <c r="F24" s="37">
        <v>212.9</v>
      </c>
      <c r="G24" s="16">
        <v>127.1</v>
      </c>
      <c r="H24" s="16">
        <v>122.7</v>
      </c>
      <c r="I24" s="16">
        <v>124.9</v>
      </c>
      <c r="J24" s="2" t="s">
        <v>158</v>
      </c>
      <c r="K24" s="16">
        <v>-9999</v>
      </c>
      <c r="L24" s="16">
        <v>83.8</v>
      </c>
      <c r="M24" s="16">
        <v>60.2</v>
      </c>
      <c r="N24" s="16" t="s">
        <v>170</v>
      </c>
      <c r="O24" s="16" t="s">
        <v>155</v>
      </c>
      <c r="P24" s="11" t="s">
        <v>156</v>
      </c>
    </row>
    <row r="25" spans="1:16" ht="13.5" customHeight="1" x14ac:dyDescent="0.2">
      <c r="A25" s="37" t="s">
        <v>323</v>
      </c>
      <c r="B25" s="37" t="s">
        <v>171</v>
      </c>
      <c r="C25" s="37">
        <v>566915</v>
      </c>
      <c r="D25" s="37">
        <v>136773</v>
      </c>
      <c r="E25" s="2" t="s">
        <v>158</v>
      </c>
      <c r="F25" s="37">
        <v>210.1</v>
      </c>
      <c r="G25" s="16">
        <v>129.80000000000001</v>
      </c>
      <c r="H25" s="16">
        <v>123.7</v>
      </c>
      <c r="I25" s="16">
        <v>126.8</v>
      </c>
      <c r="J25" s="2" t="s">
        <v>158</v>
      </c>
      <c r="K25" s="16">
        <v>85.4</v>
      </c>
      <c r="L25" s="16">
        <v>82.6</v>
      </c>
      <c r="M25" s="16">
        <v>59.8</v>
      </c>
      <c r="N25" s="16" t="s">
        <v>170</v>
      </c>
      <c r="O25" s="16" t="s">
        <v>155</v>
      </c>
      <c r="P25" s="11" t="s">
        <v>156</v>
      </c>
    </row>
    <row r="26" spans="1:16" ht="13.5" customHeight="1" x14ac:dyDescent="0.2">
      <c r="A26" s="37" t="s">
        <v>214</v>
      </c>
      <c r="B26" s="37" t="s">
        <v>302</v>
      </c>
      <c r="C26" s="37">
        <v>566934</v>
      </c>
      <c r="D26" s="37">
        <v>136681</v>
      </c>
      <c r="E26" s="2" t="s">
        <v>158</v>
      </c>
      <c r="F26" s="37">
        <v>209.7</v>
      </c>
      <c r="G26" s="16">
        <v>126.1</v>
      </c>
      <c r="H26" s="16">
        <v>116.8</v>
      </c>
      <c r="I26" s="16">
        <v>121.4</v>
      </c>
      <c r="J26" s="2" t="s">
        <v>158</v>
      </c>
      <c r="K26" s="16">
        <v>85.5</v>
      </c>
      <c r="L26" s="16">
        <v>81.400000000000006</v>
      </c>
      <c r="M26" s="16">
        <v>59.2</v>
      </c>
      <c r="N26" s="16" t="s">
        <v>170</v>
      </c>
      <c r="O26" s="16" t="s">
        <v>155</v>
      </c>
      <c r="P26" s="11" t="s">
        <v>156</v>
      </c>
    </row>
    <row r="27" spans="1:16" ht="13.5" customHeight="1" x14ac:dyDescent="0.2">
      <c r="A27" s="37" t="s">
        <v>215</v>
      </c>
      <c r="B27" s="37" t="s">
        <v>302</v>
      </c>
      <c r="C27" s="37">
        <v>566882</v>
      </c>
      <c r="D27" s="37">
        <v>136846</v>
      </c>
      <c r="E27" s="2" t="s">
        <v>158</v>
      </c>
      <c r="F27" s="37">
        <v>208.9</v>
      </c>
      <c r="G27" s="16">
        <v>124.3</v>
      </c>
      <c r="H27" s="16">
        <v>96.9</v>
      </c>
      <c r="I27" s="16">
        <v>110.6</v>
      </c>
      <c r="J27" s="2" t="s">
        <v>158</v>
      </c>
      <c r="K27" s="16">
        <v>85.6</v>
      </c>
      <c r="L27" s="16">
        <v>82.5</v>
      </c>
      <c r="M27" s="16">
        <v>60.3</v>
      </c>
      <c r="N27" s="16" t="s">
        <v>170</v>
      </c>
      <c r="O27" s="16" t="s">
        <v>155</v>
      </c>
      <c r="P27" s="11" t="s">
        <v>156</v>
      </c>
    </row>
    <row r="28" spans="1:16" ht="13.5" customHeight="1" x14ac:dyDescent="0.2">
      <c r="A28" s="37" t="s">
        <v>216</v>
      </c>
      <c r="B28" s="37" t="s">
        <v>302</v>
      </c>
      <c r="C28" s="37">
        <v>567362</v>
      </c>
      <c r="D28" s="37">
        <v>135925</v>
      </c>
      <c r="E28" s="2" t="s">
        <v>158</v>
      </c>
      <c r="F28" s="37">
        <v>216</v>
      </c>
      <c r="G28" s="16">
        <v>136.80000000000001</v>
      </c>
      <c r="H28" s="16">
        <v>88</v>
      </c>
      <c r="I28" s="16">
        <v>112.4</v>
      </c>
      <c r="J28" s="2" t="s">
        <v>158</v>
      </c>
      <c r="K28" s="16">
        <v>83.3</v>
      </c>
      <c r="L28" s="16">
        <v>73.599999999999994</v>
      </c>
      <c r="M28" s="16">
        <v>55.6</v>
      </c>
      <c r="N28" s="16" t="s">
        <v>170</v>
      </c>
      <c r="O28" s="16" t="s">
        <v>155</v>
      </c>
      <c r="P28" s="11" t="s">
        <v>156</v>
      </c>
    </row>
    <row r="29" spans="1:16" ht="13.5" customHeight="1" x14ac:dyDescent="0.2">
      <c r="A29" s="37" t="s">
        <v>217</v>
      </c>
      <c r="B29" s="37" t="s">
        <v>302</v>
      </c>
      <c r="C29" s="37">
        <v>566966</v>
      </c>
      <c r="D29" s="37">
        <v>136757</v>
      </c>
      <c r="E29" s="2" t="s">
        <v>158</v>
      </c>
      <c r="F29" s="37">
        <v>212.3</v>
      </c>
      <c r="G29" s="16">
        <v>129.80000000000001</v>
      </c>
      <c r="H29" s="16" t="s">
        <v>313</v>
      </c>
      <c r="I29" s="16">
        <v>107</v>
      </c>
      <c r="J29" s="2" t="s">
        <v>158</v>
      </c>
      <c r="K29" s="16">
        <v>-9999</v>
      </c>
      <c r="L29" s="16">
        <v>83.5</v>
      </c>
      <c r="M29" s="16">
        <v>59.9</v>
      </c>
      <c r="N29" s="16" t="s">
        <v>170</v>
      </c>
      <c r="O29" s="16" t="s">
        <v>155</v>
      </c>
      <c r="P29" s="11" t="s">
        <v>156</v>
      </c>
    </row>
    <row r="30" spans="1:16" ht="13.5" customHeight="1" x14ac:dyDescent="0.2">
      <c r="A30" s="37" t="s">
        <v>218</v>
      </c>
      <c r="B30" s="37" t="s">
        <v>302</v>
      </c>
      <c r="C30" s="37">
        <v>568141</v>
      </c>
      <c r="D30" s="37">
        <v>136609</v>
      </c>
      <c r="E30" s="2" t="s">
        <v>158</v>
      </c>
      <c r="F30" s="37">
        <v>222.8</v>
      </c>
      <c r="G30" s="16">
        <v>106.5</v>
      </c>
      <c r="H30" s="16">
        <v>101.9</v>
      </c>
      <c r="I30" s="16">
        <v>104.2</v>
      </c>
      <c r="J30" s="2" t="s">
        <v>158</v>
      </c>
      <c r="K30" s="16">
        <v>-9999</v>
      </c>
      <c r="L30" s="16">
        <v>90.2</v>
      </c>
      <c r="M30" s="16">
        <v>71</v>
      </c>
      <c r="N30" s="16" t="s">
        <v>170</v>
      </c>
      <c r="O30" s="16" t="s">
        <v>155</v>
      </c>
      <c r="P30" s="11" t="s">
        <v>156</v>
      </c>
    </row>
    <row r="31" spans="1:16" ht="13.5" customHeight="1" x14ac:dyDescent="0.2">
      <c r="A31" s="37" t="s">
        <v>219</v>
      </c>
      <c r="B31" s="37" t="s">
        <v>302</v>
      </c>
      <c r="C31" s="37">
        <v>567875</v>
      </c>
      <c r="D31" s="37">
        <v>137113</v>
      </c>
      <c r="E31" s="2" t="s">
        <v>158</v>
      </c>
      <c r="F31" s="37">
        <v>221.1</v>
      </c>
      <c r="G31" s="16">
        <v>85.5</v>
      </c>
      <c r="H31" s="16">
        <v>73.3</v>
      </c>
      <c r="I31" s="16">
        <v>79.400000000000006</v>
      </c>
      <c r="J31" s="2" t="s">
        <v>158</v>
      </c>
      <c r="K31" s="16">
        <v>-9999</v>
      </c>
      <c r="L31" s="16">
        <v>89.2</v>
      </c>
      <c r="M31" s="16">
        <v>72.2</v>
      </c>
      <c r="N31" s="16" t="s">
        <v>308</v>
      </c>
      <c r="O31" s="16" t="s">
        <v>155</v>
      </c>
      <c r="P31" s="11" t="s">
        <v>156</v>
      </c>
    </row>
    <row r="32" spans="1:16" ht="13.5" customHeight="1" x14ac:dyDescent="0.2">
      <c r="A32" s="37" t="s">
        <v>220</v>
      </c>
      <c r="B32" s="37" t="s">
        <v>302</v>
      </c>
      <c r="C32" s="37">
        <v>567307</v>
      </c>
      <c r="D32" s="37">
        <v>136520</v>
      </c>
      <c r="E32" s="2" t="s">
        <v>158</v>
      </c>
      <c r="F32" s="37">
        <v>218.1</v>
      </c>
      <c r="G32" s="16">
        <v>136</v>
      </c>
      <c r="H32" s="16">
        <v>64.400000000000006</v>
      </c>
      <c r="I32" s="16">
        <v>100.2</v>
      </c>
      <c r="J32" s="2" t="s">
        <v>158</v>
      </c>
      <c r="K32" s="16">
        <v>-9999</v>
      </c>
      <c r="L32" s="16">
        <v>67.599999999999994</v>
      </c>
      <c r="M32" s="16">
        <v>59.9</v>
      </c>
      <c r="N32" s="16" t="s">
        <v>170</v>
      </c>
      <c r="O32" s="16" t="s">
        <v>155</v>
      </c>
      <c r="P32" s="11" t="s">
        <v>156</v>
      </c>
    </row>
    <row r="33" spans="1:16" ht="13.5" customHeight="1" x14ac:dyDescent="0.2">
      <c r="A33" s="37" t="s">
        <v>221</v>
      </c>
      <c r="B33" s="37" t="s">
        <v>302</v>
      </c>
      <c r="C33" s="37">
        <v>566693</v>
      </c>
      <c r="D33" s="37">
        <v>136352</v>
      </c>
      <c r="E33" s="2" t="s">
        <v>158</v>
      </c>
      <c r="F33" s="37">
        <v>204.6</v>
      </c>
      <c r="G33" s="16">
        <v>128.4</v>
      </c>
      <c r="H33" s="16">
        <v>84.2</v>
      </c>
      <c r="I33" s="16">
        <v>106.3</v>
      </c>
      <c r="J33" s="2" t="s">
        <v>158</v>
      </c>
      <c r="K33" s="16">
        <v>81.5</v>
      </c>
      <c r="L33" s="16">
        <v>69</v>
      </c>
      <c r="M33" s="16">
        <v>54.9</v>
      </c>
      <c r="N33" s="16" t="s">
        <v>170</v>
      </c>
      <c r="O33" s="16" t="s">
        <v>155</v>
      </c>
      <c r="P33" s="11" t="s">
        <v>156</v>
      </c>
    </row>
    <row r="34" spans="1:16" ht="13.5" customHeight="1" x14ac:dyDescent="0.2">
      <c r="A34" s="37" t="s">
        <v>322</v>
      </c>
      <c r="B34" s="37" t="s">
        <v>302</v>
      </c>
      <c r="C34" s="37">
        <v>567775</v>
      </c>
      <c r="D34" s="37">
        <v>136772</v>
      </c>
      <c r="E34" s="2" t="s">
        <v>158</v>
      </c>
      <c r="F34" s="37">
        <v>220.7</v>
      </c>
      <c r="G34" s="16">
        <v>130.9</v>
      </c>
      <c r="H34" s="16">
        <v>79.099999999999994</v>
      </c>
      <c r="I34" s="16">
        <v>105</v>
      </c>
      <c r="J34" s="2" t="s">
        <v>158</v>
      </c>
      <c r="K34" s="16">
        <v>-9999</v>
      </c>
      <c r="L34" s="16">
        <v>86.1</v>
      </c>
      <c r="M34" s="16">
        <v>66.8</v>
      </c>
      <c r="N34" s="16" t="s">
        <v>170</v>
      </c>
      <c r="O34" s="16" t="s">
        <v>155</v>
      </c>
      <c r="P34" s="11" t="s">
        <v>156</v>
      </c>
    </row>
    <row r="35" spans="1:16" ht="13.5" customHeight="1" x14ac:dyDescent="0.2">
      <c r="A35" s="37" t="s">
        <v>222</v>
      </c>
      <c r="B35" s="37" t="s">
        <v>302</v>
      </c>
      <c r="C35" s="37">
        <v>568313</v>
      </c>
      <c r="D35" s="37">
        <v>136610</v>
      </c>
      <c r="E35" s="2" t="s">
        <v>158</v>
      </c>
      <c r="F35" s="37">
        <v>223.5</v>
      </c>
      <c r="G35" s="16">
        <v>126.9</v>
      </c>
      <c r="H35" s="16">
        <v>76.599999999999994</v>
      </c>
      <c r="I35" s="16">
        <v>101.7</v>
      </c>
      <c r="J35" s="2" t="s">
        <v>158</v>
      </c>
      <c r="K35" s="16">
        <v>-9999</v>
      </c>
      <c r="L35" s="16">
        <v>93.2</v>
      </c>
      <c r="M35" s="16">
        <v>70.7</v>
      </c>
      <c r="N35" s="16" t="s">
        <v>170</v>
      </c>
      <c r="O35" s="16" t="s">
        <v>155</v>
      </c>
      <c r="P35" s="11" t="s">
        <v>156</v>
      </c>
    </row>
    <row r="36" spans="1:16" ht="13.5" customHeight="1" x14ac:dyDescent="0.2">
      <c r="A36" s="37" t="s">
        <v>223</v>
      </c>
      <c r="B36" s="37" t="s">
        <v>302</v>
      </c>
      <c r="C36" s="37">
        <v>568322</v>
      </c>
      <c r="D36" s="37">
        <v>136998</v>
      </c>
      <c r="E36" s="2" t="s">
        <v>158</v>
      </c>
      <c r="F36" s="37">
        <v>224.2</v>
      </c>
      <c r="G36" s="16">
        <v>129.69999999999999</v>
      </c>
      <c r="H36" s="16">
        <v>76.400000000000006</v>
      </c>
      <c r="I36" s="16">
        <v>103</v>
      </c>
      <c r="J36" s="2" t="s">
        <v>158</v>
      </c>
      <c r="K36" s="16">
        <v>-9999</v>
      </c>
      <c r="L36" s="16">
        <v>97.3</v>
      </c>
      <c r="M36" s="16">
        <v>72.400000000000006</v>
      </c>
      <c r="N36" s="16" t="s">
        <v>170</v>
      </c>
      <c r="O36" s="16" t="s">
        <v>155</v>
      </c>
      <c r="P36" s="11" t="s">
        <v>156</v>
      </c>
    </row>
    <row r="37" spans="1:16" ht="13.5" customHeight="1" x14ac:dyDescent="0.2">
      <c r="A37" s="37" t="s">
        <v>224</v>
      </c>
      <c r="B37" s="37" t="s">
        <v>302</v>
      </c>
      <c r="C37" s="37">
        <v>568327</v>
      </c>
      <c r="D37" s="37">
        <v>136364</v>
      </c>
      <c r="E37" s="2" t="s">
        <v>158</v>
      </c>
      <c r="F37" s="37">
        <v>223.5</v>
      </c>
      <c r="G37" s="16">
        <v>114.1</v>
      </c>
      <c r="H37" s="16">
        <v>71.5</v>
      </c>
      <c r="I37" s="16">
        <v>92.8</v>
      </c>
      <c r="J37" s="2" t="s">
        <v>158</v>
      </c>
      <c r="K37" s="16">
        <v>-9999</v>
      </c>
      <c r="L37" s="16">
        <v>92.4</v>
      </c>
      <c r="M37" s="16">
        <v>67.099999999999994</v>
      </c>
      <c r="N37" s="16" t="s">
        <v>170</v>
      </c>
      <c r="O37" s="16" t="s">
        <v>155</v>
      </c>
      <c r="P37" s="11" t="s">
        <v>156</v>
      </c>
    </row>
    <row r="38" spans="1:16" ht="13.5" customHeight="1" x14ac:dyDescent="0.2">
      <c r="A38" s="37" t="s">
        <v>225</v>
      </c>
      <c r="B38" s="37" t="s">
        <v>171</v>
      </c>
      <c r="C38" s="37">
        <v>568149</v>
      </c>
      <c r="D38" s="37">
        <v>136049</v>
      </c>
      <c r="E38" s="2" t="s">
        <v>158</v>
      </c>
      <c r="F38" s="37">
        <v>222.8</v>
      </c>
      <c r="G38" s="16">
        <v>103.7</v>
      </c>
      <c r="H38" s="16">
        <v>93</v>
      </c>
      <c r="I38" s="16">
        <v>98.3</v>
      </c>
      <c r="J38" s="2" t="s">
        <v>158</v>
      </c>
      <c r="K38" s="16">
        <v>-9999</v>
      </c>
      <c r="L38" s="16">
        <v>92.4</v>
      </c>
      <c r="M38" s="16">
        <v>62</v>
      </c>
      <c r="N38" s="16" t="s">
        <v>170</v>
      </c>
      <c r="O38" s="16" t="s">
        <v>155</v>
      </c>
      <c r="P38" s="11" t="s">
        <v>156</v>
      </c>
    </row>
    <row r="39" spans="1:16" ht="13.5" customHeight="1" x14ac:dyDescent="0.2">
      <c r="A39" s="37" t="s">
        <v>226</v>
      </c>
      <c r="B39" s="37" t="s">
        <v>151</v>
      </c>
      <c r="C39" s="37">
        <v>568833</v>
      </c>
      <c r="D39" s="37">
        <v>135819</v>
      </c>
      <c r="E39" s="2" t="s">
        <v>158</v>
      </c>
      <c r="F39" s="37">
        <v>225.5</v>
      </c>
      <c r="G39" s="16">
        <v>128.6</v>
      </c>
      <c r="H39" s="16">
        <v>122.5</v>
      </c>
      <c r="I39" s="16">
        <v>125.5</v>
      </c>
      <c r="J39" s="2" t="s">
        <v>158</v>
      </c>
      <c r="K39" s="16">
        <v>101.9</v>
      </c>
      <c r="L39" s="16">
        <v>98.5</v>
      </c>
      <c r="M39" s="16">
        <v>60.8</v>
      </c>
      <c r="N39" s="16" t="s">
        <v>170</v>
      </c>
      <c r="O39" s="16" t="s">
        <v>155</v>
      </c>
      <c r="P39" s="11" t="s">
        <v>156</v>
      </c>
    </row>
    <row r="40" spans="1:16" ht="13.5" customHeight="1" x14ac:dyDescent="0.2">
      <c r="A40" s="37" t="s">
        <v>227</v>
      </c>
      <c r="B40" s="37" t="s">
        <v>172</v>
      </c>
      <c r="C40" s="37">
        <v>568833</v>
      </c>
      <c r="D40" s="37">
        <v>135819</v>
      </c>
      <c r="E40" s="2" t="s">
        <v>158</v>
      </c>
      <c r="F40" s="37">
        <v>225.5</v>
      </c>
      <c r="G40" s="16">
        <v>110.3</v>
      </c>
      <c r="H40" s="16">
        <v>104.2</v>
      </c>
      <c r="I40" s="16">
        <v>107.2</v>
      </c>
      <c r="J40" s="2" t="s">
        <v>158</v>
      </c>
      <c r="K40" s="16">
        <v>101.9</v>
      </c>
      <c r="L40" s="16">
        <v>98.5</v>
      </c>
      <c r="M40" s="16">
        <v>60.8</v>
      </c>
      <c r="N40" s="16" t="s">
        <v>170</v>
      </c>
      <c r="O40" s="16" t="s">
        <v>155</v>
      </c>
      <c r="P40" s="11" t="s">
        <v>156</v>
      </c>
    </row>
    <row r="41" spans="1:16" ht="13.5" customHeight="1" x14ac:dyDescent="0.2">
      <c r="A41" s="37" t="s">
        <v>228</v>
      </c>
      <c r="B41" s="37" t="s">
        <v>302</v>
      </c>
      <c r="C41" s="37">
        <v>566902</v>
      </c>
      <c r="D41" s="37">
        <v>136288</v>
      </c>
      <c r="E41" s="2" t="s">
        <v>158</v>
      </c>
      <c r="F41" s="37">
        <v>204.4</v>
      </c>
      <c r="G41" s="16">
        <v>124.6</v>
      </c>
      <c r="H41" s="16">
        <v>121.6</v>
      </c>
      <c r="I41" s="16">
        <v>123.1</v>
      </c>
      <c r="J41" s="2" t="s">
        <v>158</v>
      </c>
      <c r="K41" s="16">
        <v>81</v>
      </c>
      <c r="L41" s="16">
        <v>72</v>
      </c>
      <c r="M41" s="16">
        <v>57</v>
      </c>
      <c r="N41" s="16" t="s">
        <v>170</v>
      </c>
      <c r="O41" s="16" t="s">
        <v>155</v>
      </c>
      <c r="P41" s="11" t="s">
        <v>156</v>
      </c>
    </row>
    <row r="42" spans="1:16" ht="13.5" customHeight="1" x14ac:dyDescent="0.2">
      <c r="A42" s="37" t="s">
        <v>229</v>
      </c>
      <c r="B42" s="37" t="s">
        <v>302</v>
      </c>
      <c r="C42" s="37">
        <v>566902</v>
      </c>
      <c r="D42" s="37">
        <v>136282</v>
      </c>
      <c r="E42" s="2" t="s">
        <v>158</v>
      </c>
      <c r="F42" s="37">
        <v>204.3</v>
      </c>
      <c r="G42" s="16">
        <v>138.30000000000001</v>
      </c>
      <c r="H42" s="16">
        <v>127.6</v>
      </c>
      <c r="I42" s="16">
        <v>133</v>
      </c>
      <c r="J42" s="2" t="s">
        <v>158</v>
      </c>
      <c r="K42" s="16">
        <v>81</v>
      </c>
      <c r="L42" s="16">
        <v>71.900000000000006</v>
      </c>
      <c r="M42" s="16">
        <v>56.9</v>
      </c>
      <c r="N42" s="16" t="s">
        <v>170</v>
      </c>
      <c r="O42" s="16" t="s">
        <v>155</v>
      </c>
      <c r="P42" s="11" t="s">
        <v>156</v>
      </c>
    </row>
    <row r="43" spans="1:16" ht="13.5" customHeight="1" x14ac:dyDescent="0.2">
      <c r="A43" s="37" t="s">
        <v>230</v>
      </c>
      <c r="B43" s="37" t="s">
        <v>171</v>
      </c>
      <c r="C43" s="37">
        <v>566898</v>
      </c>
      <c r="D43" s="37">
        <v>136181</v>
      </c>
      <c r="E43" s="2" t="s">
        <v>158</v>
      </c>
      <c r="F43" s="37">
        <v>204.6</v>
      </c>
      <c r="G43" s="16">
        <v>138.5</v>
      </c>
      <c r="H43" s="16">
        <v>127.8</v>
      </c>
      <c r="I43" s="16">
        <v>133.1</v>
      </c>
      <c r="J43" s="2" t="s">
        <v>158</v>
      </c>
      <c r="K43" s="16">
        <v>81.2</v>
      </c>
      <c r="L43" s="16">
        <v>70.5</v>
      </c>
      <c r="M43" s="16">
        <v>55.5</v>
      </c>
      <c r="N43" s="16" t="s">
        <v>170</v>
      </c>
      <c r="O43" s="16" t="s">
        <v>155</v>
      </c>
      <c r="P43" s="11" t="s">
        <v>156</v>
      </c>
    </row>
    <row r="44" spans="1:16" ht="13.5" customHeight="1" x14ac:dyDescent="0.2">
      <c r="A44" s="37" t="s">
        <v>231</v>
      </c>
      <c r="B44" s="37" t="s">
        <v>302</v>
      </c>
      <c r="C44" s="37">
        <v>566900</v>
      </c>
      <c r="D44" s="37">
        <v>136231</v>
      </c>
      <c r="E44" s="2" t="s">
        <v>158</v>
      </c>
      <c r="F44" s="37">
        <v>204.6</v>
      </c>
      <c r="G44" s="16">
        <v>137.6</v>
      </c>
      <c r="H44" s="16">
        <v>127</v>
      </c>
      <c r="I44" s="16">
        <v>132.30000000000001</v>
      </c>
      <c r="J44" s="2" t="s">
        <v>158</v>
      </c>
      <c r="K44" s="16">
        <v>81</v>
      </c>
      <c r="L44" s="16">
        <v>71.2</v>
      </c>
      <c r="M44" s="16">
        <v>56.2</v>
      </c>
      <c r="N44" s="16" t="s">
        <v>170</v>
      </c>
      <c r="O44" s="16" t="s">
        <v>155</v>
      </c>
      <c r="P44" s="11" t="s">
        <v>156</v>
      </c>
    </row>
    <row r="45" spans="1:16" ht="13.5" customHeight="1" x14ac:dyDescent="0.2">
      <c r="A45" s="37" t="s">
        <v>232</v>
      </c>
      <c r="B45" s="37" t="s">
        <v>302</v>
      </c>
      <c r="C45" s="37">
        <v>567001</v>
      </c>
      <c r="D45" s="37">
        <v>136318</v>
      </c>
      <c r="E45" s="2" t="s">
        <v>158</v>
      </c>
      <c r="F45" s="37">
        <v>205.4</v>
      </c>
      <c r="G45" s="16">
        <v>137.4</v>
      </c>
      <c r="H45" s="16">
        <v>126.8</v>
      </c>
      <c r="I45" s="16">
        <v>132.1</v>
      </c>
      <c r="J45" s="2" t="s">
        <v>158</v>
      </c>
      <c r="K45" s="16">
        <v>79.900000000000006</v>
      </c>
      <c r="L45" s="16">
        <v>72.5</v>
      </c>
      <c r="M45" s="16">
        <v>58.7</v>
      </c>
      <c r="N45" s="16" t="s">
        <v>170</v>
      </c>
      <c r="O45" s="16" t="s">
        <v>155</v>
      </c>
      <c r="P45" s="11" t="s">
        <v>156</v>
      </c>
    </row>
    <row r="46" spans="1:16" ht="13.5" customHeight="1" x14ac:dyDescent="0.2">
      <c r="A46" s="37" t="s">
        <v>233</v>
      </c>
      <c r="B46" s="37" t="s">
        <v>171</v>
      </c>
      <c r="C46" s="37">
        <v>567007</v>
      </c>
      <c r="D46" s="37">
        <v>136218</v>
      </c>
      <c r="E46" s="2" t="s">
        <v>158</v>
      </c>
      <c r="F46" s="37">
        <v>205.1</v>
      </c>
      <c r="G46" s="16">
        <v>137.4</v>
      </c>
      <c r="H46" s="16">
        <v>126.8</v>
      </c>
      <c r="I46" s="16">
        <v>132.1</v>
      </c>
      <c r="J46" s="2" t="s">
        <v>158</v>
      </c>
      <c r="K46" s="16">
        <v>79.900000000000006</v>
      </c>
      <c r="L46" s="16">
        <v>71.3</v>
      </c>
      <c r="M46" s="16">
        <v>57.4</v>
      </c>
      <c r="N46" s="16" t="s">
        <v>170</v>
      </c>
      <c r="O46" s="16" t="s">
        <v>155</v>
      </c>
      <c r="P46" s="11" t="s">
        <v>156</v>
      </c>
    </row>
    <row r="47" spans="1:16" ht="13.5" customHeight="1" x14ac:dyDescent="0.2">
      <c r="A47" s="37" t="s">
        <v>234</v>
      </c>
      <c r="B47" s="37" t="s">
        <v>171</v>
      </c>
      <c r="C47" s="37">
        <v>566897</v>
      </c>
      <c r="D47" s="37">
        <v>136344</v>
      </c>
      <c r="E47" s="2" t="s">
        <v>158</v>
      </c>
      <c r="F47" s="37">
        <v>204.3</v>
      </c>
      <c r="G47" s="16">
        <v>137.80000000000001</v>
      </c>
      <c r="H47" s="16">
        <v>127.1</v>
      </c>
      <c r="I47" s="16">
        <v>132.5</v>
      </c>
      <c r="J47" s="2" t="s">
        <v>158</v>
      </c>
      <c r="K47" s="16">
        <v>81.5</v>
      </c>
      <c r="L47" s="16">
        <v>72.7</v>
      </c>
      <c r="M47" s="16">
        <v>57.5</v>
      </c>
      <c r="N47" s="16" t="s">
        <v>170</v>
      </c>
      <c r="O47" s="16" t="s">
        <v>155</v>
      </c>
      <c r="P47" s="11" t="s">
        <v>156</v>
      </c>
    </row>
    <row r="48" spans="1:16" ht="13.5" customHeight="1" x14ac:dyDescent="0.2">
      <c r="A48" s="37" t="s">
        <v>235</v>
      </c>
      <c r="B48" s="37" t="s">
        <v>302</v>
      </c>
      <c r="C48" s="37">
        <v>566899</v>
      </c>
      <c r="D48" s="37">
        <v>136135</v>
      </c>
      <c r="E48" s="2" t="s">
        <v>158</v>
      </c>
      <c r="F48" s="37">
        <v>204.9</v>
      </c>
      <c r="G48" s="16">
        <v>136.80000000000001</v>
      </c>
      <c r="H48" s="16">
        <v>126.1</v>
      </c>
      <c r="I48" s="16">
        <v>131.4</v>
      </c>
      <c r="J48" s="2" t="s">
        <v>158</v>
      </c>
      <c r="K48" s="16">
        <v>81.2</v>
      </c>
      <c r="L48" s="16">
        <v>70</v>
      </c>
      <c r="M48" s="16">
        <v>54.8</v>
      </c>
      <c r="N48" s="16" t="s">
        <v>170</v>
      </c>
      <c r="O48" s="16" t="s">
        <v>155</v>
      </c>
      <c r="P48" s="11" t="s">
        <v>156</v>
      </c>
    </row>
    <row r="49" spans="1:16" ht="13.5" customHeight="1" x14ac:dyDescent="0.2">
      <c r="A49" s="37" t="s">
        <v>236</v>
      </c>
      <c r="B49" s="37" t="s">
        <v>171</v>
      </c>
      <c r="C49" s="37">
        <v>566909</v>
      </c>
      <c r="D49" s="37">
        <v>136284</v>
      </c>
      <c r="E49" s="2" t="s">
        <v>158</v>
      </c>
      <c r="F49" s="37">
        <v>204.4</v>
      </c>
      <c r="G49" s="16">
        <v>129.80000000000001</v>
      </c>
      <c r="H49" s="16">
        <v>81</v>
      </c>
      <c r="I49" s="16">
        <v>105.4</v>
      </c>
      <c r="J49" s="2" t="s">
        <v>158</v>
      </c>
      <c r="K49" s="16">
        <v>81</v>
      </c>
      <c r="L49" s="16">
        <v>72</v>
      </c>
      <c r="M49" s="16">
        <v>57</v>
      </c>
      <c r="N49" s="16" t="s">
        <v>170</v>
      </c>
      <c r="O49" s="16" t="s">
        <v>155</v>
      </c>
      <c r="P49" s="11" t="s">
        <v>156</v>
      </c>
    </row>
    <row r="50" spans="1:16" ht="13.5" customHeight="1" x14ac:dyDescent="0.2">
      <c r="A50" s="37" t="s">
        <v>237</v>
      </c>
      <c r="B50" s="37" t="s">
        <v>302</v>
      </c>
      <c r="C50" s="37">
        <v>567722</v>
      </c>
      <c r="D50" s="37">
        <v>135890</v>
      </c>
      <c r="E50" s="2" t="s">
        <v>158</v>
      </c>
      <c r="F50" s="37">
        <v>219.3</v>
      </c>
      <c r="G50" s="16">
        <v>124.8</v>
      </c>
      <c r="H50" s="16">
        <v>62.3</v>
      </c>
      <c r="I50" s="16">
        <v>93.6</v>
      </c>
      <c r="J50" s="2" t="s">
        <v>158</v>
      </c>
      <c r="K50" s="16">
        <v>-9999</v>
      </c>
      <c r="L50" s="16">
        <v>80.7</v>
      </c>
      <c r="M50" s="16">
        <v>58.1</v>
      </c>
      <c r="N50" s="16" t="s">
        <v>170</v>
      </c>
      <c r="O50" s="16" t="s">
        <v>155</v>
      </c>
      <c r="P50" s="11" t="s">
        <v>156</v>
      </c>
    </row>
    <row r="51" spans="1:16" ht="13.5" customHeight="1" x14ac:dyDescent="0.2">
      <c r="A51" s="37" t="s">
        <v>238</v>
      </c>
      <c r="B51" s="37" t="s">
        <v>302</v>
      </c>
      <c r="C51" s="37">
        <v>568325</v>
      </c>
      <c r="D51" s="37">
        <v>136117</v>
      </c>
      <c r="E51" s="2" t="s">
        <v>158</v>
      </c>
      <c r="F51" s="37">
        <v>223.6</v>
      </c>
      <c r="G51" s="16">
        <v>126.4</v>
      </c>
      <c r="H51" s="16">
        <v>68.5</v>
      </c>
      <c r="I51" s="16">
        <v>97.5</v>
      </c>
      <c r="J51" s="2" t="s">
        <v>158</v>
      </c>
      <c r="K51" s="16">
        <v>-9999</v>
      </c>
      <c r="L51" s="16">
        <v>98.3</v>
      </c>
      <c r="M51" s="16">
        <v>62.7</v>
      </c>
      <c r="N51" s="16" t="s">
        <v>308</v>
      </c>
      <c r="O51" s="16" t="s">
        <v>155</v>
      </c>
      <c r="P51" s="11" t="s">
        <v>156</v>
      </c>
    </row>
    <row r="52" spans="1:16" ht="13.5" customHeight="1" x14ac:dyDescent="0.2">
      <c r="A52" s="37" t="s">
        <v>239</v>
      </c>
      <c r="B52" s="37" t="s">
        <v>151</v>
      </c>
      <c r="C52" s="37">
        <v>567733</v>
      </c>
      <c r="D52" s="37">
        <v>135568</v>
      </c>
      <c r="E52" s="2" t="s">
        <v>158</v>
      </c>
      <c r="F52" s="37">
        <v>218.6</v>
      </c>
      <c r="G52" s="16">
        <v>93.5</v>
      </c>
      <c r="H52" s="16">
        <v>88.9</v>
      </c>
      <c r="I52" s="16">
        <v>91.2</v>
      </c>
      <c r="J52" s="2" t="s">
        <v>158</v>
      </c>
      <c r="K52" s="16">
        <v>85.6</v>
      </c>
      <c r="L52" s="16">
        <v>76.2</v>
      </c>
      <c r="M52" s="16">
        <v>52.5</v>
      </c>
      <c r="N52" s="16" t="s">
        <v>170</v>
      </c>
      <c r="O52" s="16" t="s">
        <v>155</v>
      </c>
      <c r="P52" s="11" t="s">
        <v>156</v>
      </c>
    </row>
    <row r="53" spans="1:16" ht="13.5" customHeight="1" x14ac:dyDescent="0.2">
      <c r="A53" s="37" t="s">
        <v>240</v>
      </c>
      <c r="B53" s="37" t="s">
        <v>171</v>
      </c>
      <c r="C53" s="37">
        <v>567328</v>
      </c>
      <c r="D53" s="37">
        <v>135941</v>
      </c>
      <c r="E53" s="2" t="s">
        <v>158</v>
      </c>
      <c r="F53" s="37">
        <v>215.7</v>
      </c>
      <c r="G53" s="16">
        <v>89.5</v>
      </c>
      <c r="H53" s="16">
        <v>84.9</v>
      </c>
      <c r="I53" s="16">
        <v>87.2</v>
      </c>
      <c r="J53" s="2" t="s">
        <v>158</v>
      </c>
      <c r="K53" s="16">
        <v>83</v>
      </c>
      <c r="L53" s="16">
        <v>73.099999999999994</v>
      </c>
      <c r="M53" s="16">
        <v>55.7</v>
      </c>
      <c r="N53" s="16" t="s">
        <v>170</v>
      </c>
      <c r="O53" s="16" t="s">
        <v>155</v>
      </c>
      <c r="P53" s="11" t="s">
        <v>156</v>
      </c>
    </row>
    <row r="54" spans="1:16" ht="13.5" customHeight="1" x14ac:dyDescent="0.2">
      <c r="A54" s="37" t="s">
        <v>241</v>
      </c>
      <c r="B54" s="37" t="s">
        <v>302</v>
      </c>
      <c r="C54" s="37">
        <v>567359</v>
      </c>
      <c r="D54" s="37">
        <v>136205</v>
      </c>
      <c r="E54" s="2" t="s">
        <v>158</v>
      </c>
      <c r="F54" s="37">
        <v>216.7</v>
      </c>
      <c r="G54" s="16">
        <v>128.1</v>
      </c>
      <c r="H54" s="16">
        <v>67.099999999999994</v>
      </c>
      <c r="I54" s="16">
        <v>97.6</v>
      </c>
      <c r="J54" s="2" t="s">
        <v>158</v>
      </c>
      <c r="K54" s="16">
        <v>-9999</v>
      </c>
      <c r="L54" s="16">
        <v>70.7</v>
      </c>
      <c r="M54" s="16">
        <v>59.1</v>
      </c>
      <c r="N54" s="16" t="s">
        <v>170</v>
      </c>
      <c r="O54" s="16" t="s">
        <v>155</v>
      </c>
      <c r="P54" s="11" t="s">
        <v>156</v>
      </c>
    </row>
    <row r="55" spans="1:16" ht="13.5" customHeight="1" x14ac:dyDescent="0.2">
      <c r="A55" s="37" t="s">
        <v>242</v>
      </c>
      <c r="B55" s="37" t="s">
        <v>171</v>
      </c>
      <c r="C55" s="37">
        <v>567781</v>
      </c>
      <c r="D55" s="37">
        <v>136381</v>
      </c>
      <c r="E55" s="2" t="s">
        <v>158</v>
      </c>
      <c r="F55" s="37">
        <v>221.4</v>
      </c>
      <c r="G55" s="16">
        <v>127</v>
      </c>
      <c r="H55" s="16">
        <v>70.599999999999994</v>
      </c>
      <c r="I55" s="16">
        <v>98.8</v>
      </c>
      <c r="J55" s="2" t="s">
        <v>158</v>
      </c>
      <c r="K55" s="16">
        <v>-9999</v>
      </c>
      <c r="L55" s="16">
        <v>80.2</v>
      </c>
      <c r="M55" s="16">
        <v>63.7</v>
      </c>
      <c r="N55" s="16" t="s">
        <v>170</v>
      </c>
      <c r="O55" s="16" t="s">
        <v>155</v>
      </c>
      <c r="P55" s="11" t="s">
        <v>156</v>
      </c>
    </row>
    <row r="56" spans="1:16" ht="13.5" customHeight="1" x14ac:dyDescent="0.2">
      <c r="A56" s="37" t="s">
        <v>243</v>
      </c>
      <c r="B56" s="37" t="s">
        <v>171</v>
      </c>
      <c r="C56" s="37">
        <v>566554</v>
      </c>
      <c r="D56" s="37">
        <v>135943</v>
      </c>
      <c r="E56" s="2" t="s">
        <v>158</v>
      </c>
      <c r="F56" s="37">
        <v>206.4</v>
      </c>
      <c r="G56" s="16">
        <v>136.1</v>
      </c>
      <c r="H56" s="16">
        <v>124</v>
      </c>
      <c r="I56" s="16">
        <v>130</v>
      </c>
      <c r="J56" s="2" t="s">
        <v>158</v>
      </c>
      <c r="K56" s="16">
        <v>77.900000000000006</v>
      </c>
      <c r="L56" s="16">
        <v>62.9</v>
      </c>
      <c r="M56" s="16">
        <v>48.2</v>
      </c>
      <c r="N56" s="16" t="s">
        <v>170</v>
      </c>
      <c r="O56" s="16" t="s">
        <v>155</v>
      </c>
      <c r="P56" s="11" t="s">
        <v>156</v>
      </c>
    </row>
    <row r="57" spans="1:16" ht="13.5" customHeight="1" x14ac:dyDescent="0.2">
      <c r="A57" s="37" t="s">
        <v>244</v>
      </c>
      <c r="B57" s="37" t="s">
        <v>302</v>
      </c>
      <c r="C57" s="37">
        <v>566412</v>
      </c>
      <c r="D57" s="37">
        <v>136001</v>
      </c>
      <c r="E57" s="2" t="s">
        <v>158</v>
      </c>
      <c r="F57" s="37">
        <v>207.4</v>
      </c>
      <c r="G57" s="16">
        <v>151.6</v>
      </c>
      <c r="H57" s="16">
        <v>116.8</v>
      </c>
      <c r="I57" s="16">
        <v>134.19999999999999</v>
      </c>
      <c r="J57" s="2" t="s">
        <v>158</v>
      </c>
      <c r="K57" s="16">
        <v>77.2</v>
      </c>
      <c r="L57" s="16">
        <v>61.9</v>
      </c>
      <c r="M57" s="16">
        <v>47.5</v>
      </c>
      <c r="N57" s="16" t="s">
        <v>170</v>
      </c>
      <c r="O57" s="16" t="s">
        <v>155</v>
      </c>
      <c r="P57" s="11" t="s">
        <v>156</v>
      </c>
    </row>
    <row r="58" spans="1:16" ht="13.5" customHeight="1" x14ac:dyDescent="0.2">
      <c r="A58" s="37" t="s">
        <v>245</v>
      </c>
      <c r="B58" s="37" t="s">
        <v>302</v>
      </c>
      <c r="C58" s="37">
        <v>566309</v>
      </c>
      <c r="D58" s="37">
        <v>135550</v>
      </c>
      <c r="E58" s="2" t="s">
        <v>158</v>
      </c>
      <c r="F58" s="37">
        <v>209.4</v>
      </c>
      <c r="G58" s="16">
        <v>137.5</v>
      </c>
      <c r="H58" s="16">
        <v>126.8</v>
      </c>
      <c r="I58" s="16">
        <v>132.1</v>
      </c>
      <c r="J58" s="2" t="s">
        <v>158</v>
      </c>
      <c r="K58" s="16">
        <v>73.400000000000006</v>
      </c>
      <c r="L58" s="16">
        <v>58.6</v>
      </c>
      <c r="M58" s="16">
        <v>41</v>
      </c>
      <c r="N58" s="16" t="s">
        <v>170</v>
      </c>
      <c r="O58" s="16" t="s">
        <v>155</v>
      </c>
      <c r="P58" s="11" t="s">
        <v>156</v>
      </c>
    </row>
    <row r="59" spans="1:16" ht="13.5" customHeight="1" x14ac:dyDescent="0.2">
      <c r="A59" s="37" t="s">
        <v>246</v>
      </c>
      <c r="B59" s="37" t="s">
        <v>171</v>
      </c>
      <c r="C59" s="37">
        <v>566307</v>
      </c>
      <c r="D59" s="37">
        <v>135719</v>
      </c>
      <c r="E59" s="2" t="s">
        <v>158</v>
      </c>
      <c r="F59" s="37">
        <v>209.2</v>
      </c>
      <c r="G59" s="16">
        <v>80.5</v>
      </c>
      <c r="H59" s="16">
        <v>77.400000000000006</v>
      </c>
      <c r="I59" s="16">
        <v>78.900000000000006</v>
      </c>
      <c r="J59" s="2" t="s">
        <v>158</v>
      </c>
      <c r="K59" s="16">
        <v>74.599999999999994</v>
      </c>
      <c r="L59" s="16">
        <v>59.4</v>
      </c>
      <c r="M59" s="16">
        <v>43.1</v>
      </c>
      <c r="N59" s="16" t="s">
        <v>170</v>
      </c>
      <c r="O59" s="16" t="s">
        <v>155</v>
      </c>
      <c r="P59" s="11" t="s">
        <v>156</v>
      </c>
    </row>
    <row r="60" spans="1:16" ht="13.5" customHeight="1" x14ac:dyDescent="0.2">
      <c r="A60" s="37" t="s">
        <v>247</v>
      </c>
      <c r="B60" s="37" t="s">
        <v>302</v>
      </c>
      <c r="C60" s="37">
        <v>566308</v>
      </c>
      <c r="D60" s="37">
        <v>135926</v>
      </c>
      <c r="E60" s="2" t="s">
        <v>158</v>
      </c>
      <c r="F60" s="37">
        <v>208.3</v>
      </c>
      <c r="G60" s="16">
        <v>136.5</v>
      </c>
      <c r="H60" s="16">
        <v>125.9</v>
      </c>
      <c r="I60" s="16">
        <v>131.19999999999999</v>
      </c>
      <c r="J60" s="2" t="s">
        <v>158</v>
      </c>
      <c r="K60" s="16">
        <v>76</v>
      </c>
      <c r="L60" s="16">
        <v>60.5</v>
      </c>
      <c r="M60" s="16">
        <v>45.5</v>
      </c>
      <c r="N60" s="16" t="s">
        <v>170</v>
      </c>
      <c r="O60" s="16" t="s">
        <v>155</v>
      </c>
      <c r="P60" s="11" t="s">
        <v>156</v>
      </c>
    </row>
    <row r="61" spans="1:16" ht="13.5" customHeight="1" x14ac:dyDescent="0.2">
      <c r="A61" s="37" t="s">
        <v>248</v>
      </c>
      <c r="B61" s="37" t="s">
        <v>302</v>
      </c>
      <c r="C61" s="37">
        <v>566657</v>
      </c>
      <c r="D61" s="37">
        <v>136109</v>
      </c>
      <c r="E61" s="2" t="s">
        <v>158</v>
      </c>
      <c r="F61" s="37">
        <v>204.8</v>
      </c>
      <c r="G61" s="16">
        <v>130.19999999999999</v>
      </c>
      <c r="H61" s="16">
        <v>81.400000000000006</v>
      </c>
      <c r="I61" s="16">
        <v>105.8</v>
      </c>
      <c r="J61" s="2" t="s">
        <v>158</v>
      </c>
      <c r="K61" s="16">
        <v>79.900000000000006</v>
      </c>
      <c r="L61" s="16">
        <v>65.8</v>
      </c>
      <c r="M61" s="16">
        <v>51.5</v>
      </c>
      <c r="N61" s="16" t="s">
        <v>170</v>
      </c>
      <c r="O61" s="16" t="s">
        <v>155</v>
      </c>
      <c r="P61" s="11" t="s">
        <v>156</v>
      </c>
    </row>
    <row r="62" spans="1:16" ht="13.5" customHeight="1" x14ac:dyDescent="0.2">
      <c r="A62" s="37" t="s">
        <v>249</v>
      </c>
      <c r="B62" s="37" t="s">
        <v>171</v>
      </c>
      <c r="C62" s="37">
        <v>566729</v>
      </c>
      <c r="D62" s="37">
        <v>136371</v>
      </c>
      <c r="E62" s="2" t="s">
        <v>158</v>
      </c>
      <c r="F62" s="37">
        <v>205.2</v>
      </c>
      <c r="G62" s="16">
        <v>144.30000000000001</v>
      </c>
      <c r="H62" s="16">
        <v>133.30000000000001</v>
      </c>
      <c r="I62" s="16">
        <v>138.80000000000001</v>
      </c>
      <c r="J62" s="2" t="s">
        <v>158</v>
      </c>
      <c r="K62" s="16">
        <v>81.900000000000006</v>
      </c>
      <c r="L62" s="16">
        <v>70</v>
      </c>
      <c r="M62" s="16">
        <v>55.5</v>
      </c>
      <c r="N62" s="16" t="s">
        <v>170</v>
      </c>
      <c r="O62" s="16" t="s">
        <v>155</v>
      </c>
      <c r="P62" s="11" t="s">
        <v>156</v>
      </c>
    </row>
    <row r="63" spans="1:16" ht="13.5" customHeight="1" x14ac:dyDescent="0.2">
      <c r="A63" s="37" t="s">
        <v>250</v>
      </c>
      <c r="B63" s="37" t="s">
        <v>302</v>
      </c>
      <c r="C63" s="37">
        <v>566305</v>
      </c>
      <c r="D63" s="37">
        <v>135749</v>
      </c>
      <c r="E63" s="2" t="s">
        <v>158</v>
      </c>
      <c r="F63" s="37">
        <v>209.3</v>
      </c>
      <c r="G63" s="16">
        <v>142.80000000000001</v>
      </c>
      <c r="H63" s="16">
        <v>130.6</v>
      </c>
      <c r="I63" s="16">
        <v>136.69999999999999</v>
      </c>
      <c r="J63" s="2" t="s">
        <v>158</v>
      </c>
      <c r="K63" s="16">
        <v>74.8</v>
      </c>
      <c r="L63" s="16">
        <v>59.5</v>
      </c>
      <c r="M63" s="16">
        <v>43.5</v>
      </c>
      <c r="N63" s="16" t="s">
        <v>170</v>
      </c>
      <c r="O63" s="16" t="s">
        <v>155</v>
      </c>
      <c r="P63" s="11" t="s">
        <v>156</v>
      </c>
    </row>
    <row r="64" spans="1:16" ht="13.5" customHeight="1" x14ac:dyDescent="0.2">
      <c r="A64" s="37" t="s">
        <v>251</v>
      </c>
      <c r="B64" s="37" t="s">
        <v>171</v>
      </c>
      <c r="C64" s="37">
        <v>566377</v>
      </c>
      <c r="D64" s="37">
        <v>135856</v>
      </c>
      <c r="E64" s="2" t="s">
        <v>158</v>
      </c>
      <c r="F64" s="37">
        <v>207.7</v>
      </c>
      <c r="G64" s="16">
        <v>142.9</v>
      </c>
      <c r="H64" s="16">
        <v>130.69999999999999</v>
      </c>
      <c r="I64" s="16">
        <v>136.80000000000001</v>
      </c>
      <c r="J64" s="2" t="s">
        <v>158</v>
      </c>
      <c r="K64" s="16">
        <v>75.900000000000006</v>
      </c>
      <c r="L64" s="16">
        <v>60.6</v>
      </c>
      <c r="M64" s="16">
        <v>45.4</v>
      </c>
      <c r="N64" s="16" t="s">
        <v>170</v>
      </c>
      <c r="O64" s="16" t="s">
        <v>155</v>
      </c>
      <c r="P64" s="11" t="s">
        <v>156</v>
      </c>
    </row>
    <row r="65" spans="1:16" ht="13.5" customHeight="1" x14ac:dyDescent="0.2">
      <c r="A65" s="37" t="s">
        <v>252</v>
      </c>
      <c r="B65" s="37" t="s">
        <v>302</v>
      </c>
      <c r="C65" s="37">
        <v>566433</v>
      </c>
      <c r="D65" s="37">
        <v>135967</v>
      </c>
      <c r="E65" s="2" t="s">
        <v>158</v>
      </c>
      <c r="F65" s="37">
        <v>206.8</v>
      </c>
      <c r="G65" s="16">
        <v>134</v>
      </c>
      <c r="H65" s="16">
        <v>126.4</v>
      </c>
      <c r="I65" s="16">
        <v>130.19999999999999</v>
      </c>
      <c r="J65" s="2" t="s">
        <v>158</v>
      </c>
      <c r="K65" s="16">
        <v>77.099999999999994</v>
      </c>
      <c r="L65" s="16">
        <v>61.9</v>
      </c>
      <c r="M65" s="16">
        <v>47.3</v>
      </c>
      <c r="N65" s="16" t="s">
        <v>170</v>
      </c>
      <c r="O65" s="16" t="s">
        <v>155</v>
      </c>
      <c r="P65" s="11" t="s">
        <v>156</v>
      </c>
    </row>
    <row r="66" spans="1:16" ht="13.5" customHeight="1" x14ac:dyDescent="0.2">
      <c r="A66" s="37" t="s">
        <v>253</v>
      </c>
      <c r="B66" s="37" t="s">
        <v>171</v>
      </c>
      <c r="C66" s="37">
        <v>566613</v>
      </c>
      <c r="D66" s="37">
        <v>135960</v>
      </c>
      <c r="E66" s="2" t="s">
        <v>158</v>
      </c>
      <c r="F66" s="37">
        <v>204.9</v>
      </c>
      <c r="G66" s="16">
        <v>140.69999999999999</v>
      </c>
      <c r="H66" s="16">
        <v>125.5</v>
      </c>
      <c r="I66" s="16">
        <v>133.1</v>
      </c>
      <c r="J66" s="2" t="s">
        <v>158</v>
      </c>
      <c r="K66" s="16">
        <v>78.5</v>
      </c>
      <c r="L66" s="16">
        <v>63.9</v>
      </c>
      <c r="M66" s="16">
        <v>49</v>
      </c>
      <c r="N66" s="16" t="s">
        <v>170</v>
      </c>
      <c r="O66" s="16" t="s">
        <v>155</v>
      </c>
      <c r="P66" s="11" t="s">
        <v>156</v>
      </c>
    </row>
    <row r="67" spans="1:16" ht="13.5" customHeight="1" x14ac:dyDescent="0.2">
      <c r="A67" s="37" t="s">
        <v>254</v>
      </c>
      <c r="B67" s="37" t="s">
        <v>302</v>
      </c>
      <c r="C67" s="37">
        <v>566774</v>
      </c>
      <c r="D67" s="37">
        <v>135430</v>
      </c>
      <c r="E67" s="2" t="s">
        <v>158</v>
      </c>
      <c r="F67" s="37">
        <v>203.9</v>
      </c>
      <c r="G67" s="16">
        <v>139.6</v>
      </c>
      <c r="H67" s="16">
        <v>124.6</v>
      </c>
      <c r="I67" s="16">
        <v>132.1</v>
      </c>
      <c r="J67" s="2" t="s">
        <v>158</v>
      </c>
      <c r="K67" s="16">
        <v>73</v>
      </c>
      <c r="L67" s="16">
        <v>58.9</v>
      </c>
      <c r="M67" s="16">
        <v>42.5</v>
      </c>
      <c r="N67" s="16" t="s">
        <v>170</v>
      </c>
      <c r="O67" s="16" t="s">
        <v>155</v>
      </c>
      <c r="P67" s="11" t="s">
        <v>156</v>
      </c>
    </row>
    <row r="68" spans="1:16" ht="13.5" customHeight="1" x14ac:dyDescent="0.2">
      <c r="A68" s="37" t="s">
        <v>255</v>
      </c>
      <c r="B68" s="37" t="s">
        <v>151</v>
      </c>
      <c r="C68" s="37">
        <v>566716</v>
      </c>
      <c r="D68" s="37">
        <v>135248</v>
      </c>
      <c r="E68" s="2" t="s">
        <v>158</v>
      </c>
      <c r="F68" s="37">
        <v>203</v>
      </c>
      <c r="G68" s="16">
        <v>140.30000000000001</v>
      </c>
      <c r="H68" s="16">
        <v>125.1</v>
      </c>
      <c r="I68" s="16">
        <v>132.69999999999999</v>
      </c>
      <c r="J68" s="2" t="s">
        <v>158</v>
      </c>
      <c r="K68" s="16">
        <v>70.7</v>
      </c>
      <c r="L68" s="16">
        <v>58.5</v>
      </c>
      <c r="M68" s="16">
        <v>40.200000000000003</v>
      </c>
      <c r="N68" s="16" t="s">
        <v>170</v>
      </c>
      <c r="O68" s="16" t="s">
        <v>155</v>
      </c>
      <c r="P68" s="11" t="s">
        <v>156</v>
      </c>
    </row>
    <row r="69" spans="1:16" ht="13.5" customHeight="1" x14ac:dyDescent="0.2">
      <c r="A69" s="37" t="s">
        <v>256</v>
      </c>
      <c r="B69" s="37" t="s">
        <v>171</v>
      </c>
      <c r="C69" s="37">
        <v>566653</v>
      </c>
      <c r="D69" s="37">
        <v>136205</v>
      </c>
      <c r="E69" s="2" t="s">
        <v>158</v>
      </c>
      <c r="F69" s="37">
        <v>205.1</v>
      </c>
      <c r="G69" s="16">
        <v>138.6</v>
      </c>
      <c r="H69" s="16">
        <v>127.9</v>
      </c>
      <c r="I69" s="16">
        <v>133.30000000000001</v>
      </c>
      <c r="J69" s="2" t="s">
        <v>158</v>
      </c>
      <c r="K69" s="16">
        <v>80.400000000000006</v>
      </c>
      <c r="L69" s="16">
        <v>66.599999999999994</v>
      </c>
      <c r="M69" s="16">
        <v>52.8</v>
      </c>
      <c r="N69" s="16" t="s">
        <v>170</v>
      </c>
      <c r="O69" s="16" t="s">
        <v>155</v>
      </c>
      <c r="P69" s="11" t="s">
        <v>156</v>
      </c>
    </row>
    <row r="70" spans="1:16" ht="13.5" customHeight="1" x14ac:dyDescent="0.2">
      <c r="A70" s="37" t="s">
        <v>257</v>
      </c>
      <c r="B70" s="37" t="s">
        <v>302</v>
      </c>
      <c r="C70" s="37">
        <v>566582</v>
      </c>
      <c r="D70" s="37">
        <v>135627</v>
      </c>
      <c r="E70" s="2" t="s">
        <v>158</v>
      </c>
      <c r="F70" s="37">
        <v>206.5</v>
      </c>
      <c r="G70" s="16">
        <v>137</v>
      </c>
      <c r="H70" s="16">
        <v>121.8</v>
      </c>
      <c r="I70" s="16">
        <v>129.4</v>
      </c>
      <c r="J70" s="2" t="s">
        <v>158</v>
      </c>
      <c r="K70" s="16">
        <v>75.3</v>
      </c>
      <c r="L70" s="16">
        <v>59.6</v>
      </c>
      <c r="M70" s="16">
        <v>44</v>
      </c>
      <c r="N70" s="16" t="s">
        <v>170</v>
      </c>
      <c r="O70" s="16" t="s">
        <v>155</v>
      </c>
      <c r="P70" s="11" t="s">
        <v>156</v>
      </c>
    </row>
    <row r="71" spans="1:16" ht="13.5" customHeight="1" x14ac:dyDescent="0.2">
      <c r="A71" s="37" t="s">
        <v>258</v>
      </c>
      <c r="B71" s="37" t="s">
        <v>171</v>
      </c>
      <c r="C71" s="37">
        <v>566490</v>
      </c>
      <c r="D71" s="37">
        <v>136210</v>
      </c>
      <c r="E71" s="2" t="s">
        <v>158</v>
      </c>
      <c r="F71" s="37">
        <v>206.8</v>
      </c>
      <c r="G71" s="16">
        <v>137.80000000000001</v>
      </c>
      <c r="H71" s="16">
        <v>127.1</v>
      </c>
      <c r="I71" s="16">
        <v>132.4</v>
      </c>
      <c r="J71" s="2" t="s">
        <v>158</v>
      </c>
      <c r="K71" s="16">
        <v>79.400000000000006</v>
      </c>
      <c r="L71" s="16">
        <v>64.5</v>
      </c>
      <c r="M71" s="16">
        <v>50.9</v>
      </c>
      <c r="N71" s="16" t="s">
        <v>170</v>
      </c>
      <c r="O71" s="16" t="s">
        <v>155</v>
      </c>
      <c r="P71" s="11" t="s">
        <v>156</v>
      </c>
    </row>
    <row r="72" spans="1:16" ht="13.5" customHeight="1" x14ac:dyDescent="0.2">
      <c r="A72" s="37" t="s">
        <v>259</v>
      </c>
      <c r="B72" s="37" t="s">
        <v>171</v>
      </c>
      <c r="C72" s="37">
        <v>566685</v>
      </c>
      <c r="D72" s="37">
        <v>136066</v>
      </c>
      <c r="E72" s="2" t="s">
        <v>158</v>
      </c>
      <c r="F72" s="37">
        <v>204.2</v>
      </c>
      <c r="G72" s="16">
        <v>138.30000000000001</v>
      </c>
      <c r="H72" s="16">
        <v>127.6</v>
      </c>
      <c r="I72" s="16">
        <v>132.9</v>
      </c>
      <c r="J72" s="2" t="s">
        <v>158</v>
      </c>
      <c r="K72" s="16">
        <v>79.8</v>
      </c>
      <c r="L72" s="16">
        <v>65.8</v>
      </c>
      <c r="M72" s="16">
        <v>51.3</v>
      </c>
      <c r="N72" s="16" t="s">
        <v>170</v>
      </c>
      <c r="O72" s="16" t="s">
        <v>155</v>
      </c>
      <c r="P72" s="11" t="s">
        <v>156</v>
      </c>
    </row>
    <row r="73" spans="1:16" ht="13.5" customHeight="1" x14ac:dyDescent="0.2">
      <c r="A73" s="37" t="s">
        <v>260</v>
      </c>
      <c r="B73" s="37" t="s">
        <v>302</v>
      </c>
      <c r="C73" s="37">
        <v>566752</v>
      </c>
      <c r="D73" s="37">
        <v>135587</v>
      </c>
      <c r="E73" s="2" t="s">
        <v>158</v>
      </c>
      <c r="F73" s="37">
        <v>203.5</v>
      </c>
      <c r="G73" s="16">
        <v>139.6</v>
      </c>
      <c r="H73" s="16">
        <v>115.2</v>
      </c>
      <c r="I73" s="16">
        <v>127.4</v>
      </c>
      <c r="J73" s="2" t="s">
        <v>158</v>
      </c>
      <c r="K73" s="16">
        <v>75.900000000000006</v>
      </c>
      <c r="L73" s="16">
        <v>59.7</v>
      </c>
      <c r="M73" s="16">
        <v>44.4</v>
      </c>
      <c r="N73" s="16" t="s">
        <v>170</v>
      </c>
      <c r="O73" s="16" t="s">
        <v>155</v>
      </c>
      <c r="P73" s="11" t="s">
        <v>156</v>
      </c>
    </row>
    <row r="74" spans="1:16" ht="13.5" customHeight="1" x14ac:dyDescent="0.2">
      <c r="A74" s="37" t="s">
        <v>261</v>
      </c>
      <c r="B74" s="37" t="s">
        <v>302</v>
      </c>
      <c r="C74" s="37">
        <v>566776</v>
      </c>
      <c r="D74" s="37">
        <v>135642</v>
      </c>
      <c r="E74" s="2" t="s">
        <v>158</v>
      </c>
      <c r="F74" s="37">
        <v>202.7</v>
      </c>
      <c r="G74" s="16">
        <v>136.1</v>
      </c>
      <c r="H74" s="16">
        <v>117.8</v>
      </c>
      <c r="I74" s="16">
        <v>127</v>
      </c>
      <c r="J74" s="2" t="s">
        <v>158</v>
      </c>
      <c r="K74" s="16">
        <v>76.7</v>
      </c>
      <c r="L74" s="16">
        <v>61.4</v>
      </c>
      <c r="M74" s="16">
        <v>45.1</v>
      </c>
      <c r="N74" s="16" t="s">
        <v>170</v>
      </c>
      <c r="O74" s="16" t="s">
        <v>155</v>
      </c>
      <c r="P74" s="11" t="s">
        <v>156</v>
      </c>
    </row>
    <row r="75" spans="1:16" ht="13.5" customHeight="1" x14ac:dyDescent="0.2">
      <c r="A75" s="37" t="s">
        <v>262</v>
      </c>
      <c r="B75" s="37" t="s">
        <v>171</v>
      </c>
      <c r="C75" s="37">
        <v>566307</v>
      </c>
      <c r="D75" s="37">
        <v>135973</v>
      </c>
      <c r="E75" s="2" t="s">
        <v>158</v>
      </c>
      <c r="F75" s="37">
        <v>208.4</v>
      </c>
      <c r="G75" s="16">
        <v>136.5</v>
      </c>
      <c r="H75" s="16">
        <v>125.9</v>
      </c>
      <c r="I75" s="16">
        <v>131.19999999999999</v>
      </c>
      <c r="J75" s="2" t="s">
        <v>158</v>
      </c>
      <c r="K75" s="16">
        <v>76.3</v>
      </c>
      <c r="L75" s="16">
        <v>60.7</v>
      </c>
      <c r="M75" s="16">
        <v>46.1</v>
      </c>
      <c r="N75" s="16" t="s">
        <v>170</v>
      </c>
      <c r="O75" s="16" t="s">
        <v>155</v>
      </c>
      <c r="P75" s="11" t="s">
        <v>156</v>
      </c>
    </row>
    <row r="76" spans="1:16" ht="13.5" customHeight="1" x14ac:dyDescent="0.2">
      <c r="A76" s="37" t="s">
        <v>263</v>
      </c>
      <c r="B76" s="37" t="s">
        <v>302</v>
      </c>
      <c r="C76" s="37">
        <v>566793</v>
      </c>
      <c r="D76" s="37">
        <v>135791</v>
      </c>
      <c r="E76" s="2" t="s">
        <v>158</v>
      </c>
      <c r="F76" s="37">
        <v>202.5</v>
      </c>
      <c r="G76" s="16">
        <v>128.30000000000001</v>
      </c>
      <c r="H76" s="16">
        <v>117.6</v>
      </c>
      <c r="I76" s="16">
        <v>123</v>
      </c>
      <c r="J76" s="2" t="s">
        <v>158</v>
      </c>
      <c r="K76" s="16">
        <v>78.5</v>
      </c>
      <c r="L76" s="16">
        <v>64.5</v>
      </c>
      <c r="M76" s="16">
        <v>47.7</v>
      </c>
      <c r="N76" s="16" t="s">
        <v>170</v>
      </c>
      <c r="O76" s="16" t="s">
        <v>155</v>
      </c>
      <c r="P76" s="11" t="s">
        <v>156</v>
      </c>
    </row>
    <row r="77" spans="1:16" ht="13.5" customHeight="1" x14ac:dyDescent="0.2">
      <c r="A77" s="37" t="s">
        <v>264</v>
      </c>
      <c r="B77" s="37" t="s">
        <v>171</v>
      </c>
      <c r="C77" s="37">
        <v>566676</v>
      </c>
      <c r="D77" s="37">
        <v>135920</v>
      </c>
      <c r="E77" s="2" t="s">
        <v>158</v>
      </c>
      <c r="F77" s="37">
        <v>203.4</v>
      </c>
      <c r="G77" s="16">
        <v>147.9</v>
      </c>
      <c r="H77" s="16">
        <v>109.4</v>
      </c>
      <c r="I77" s="16">
        <v>128.69999999999999</v>
      </c>
      <c r="J77" s="2" t="s">
        <v>158</v>
      </c>
      <c r="K77" s="16">
        <v>78.7</v>
      </c>
      <c r="L77" s="16">
        <v>64.3</v>
      </c>
      <c r="M77" s="16">
        <v>49</v>
      </c>
      <c r="N77" s="16" t="s">
        <v>170</v>
      </c>
      <c r="O77" s="16" t="s">
        <v>155</v>
      </c>
      <c r="P77" s="11" t="s">
        <v>156</v>
      </c>
    </row>
    <row r="78" spans="1:16" ht="13.5" customHeight="1" x14ac:dyDescent="0.2">
      <c r="A78" s="37" t="s">
        <v>265</v>
      </c>
      <c r="B78" s="37" t="s">
        <v>302</v>
      </c>
      <c r="C78" s="37">
        <v>566809</v>
      </c>
      <c r="D78" s="37">
        <v>136029</v>
      </c>
      <c r="E78" s="2" t="s">
        <v>158</v>
      </c>
      <c r="F78" s="37">
        <v>202.2</v>
      </c>
      <c r="G78" s="16">
        <v>137.6</v>
      </c>
      <c r="H78" s="16">
        <v>126.9</v>
      </c>
      <c r="I78" s="16">
        <v>132.30000000000001</v>
      </c>
      <c r="J78" s="2" t="s">
        <v>158</v>
      </c>
      <c r="K78" s="16">
        <v>80.5</v>
      </c>
      <c r="L78" s="16">
        <v>67.5</v>
      </c>
      <c r="M78" s="16" t="s">
        <v>314</v>
      </c>
      <c r="N78" s="16" t="s">
        <v>170</v>
      </c>
      <c r="O78" s="16" t="s">
        <v>155</v>
      </c>
      <c r="P78" s="11" t="s">
        <v>156</v>
      </c>
    </row>
    <row r="79" spans="1:16" ht="13.5" customHeight="1" x14ac:dyDescent="0.2">
      <c r="A79" s="37" t="s">
        <v>266</v>
      </c>
      <c r="B79" s="37" t="s">
        <v>171</v>
      </c>
      <c r="C79" s="37">
        <v>566697</v>
      </c>
      <c r="D79" s="37">
        <v>136373</v>
      </c>
      <c r="E79" s="2" t="s">
        <v>158</v>
      </c>
      <c r="F79" s="37">
        <v>204.5</v>
      </c>
      <c r="G79" s="16">
        <v>137.4</v>
      </c>
      <c r="H79" s="16">
        <v>126.8</v>
      </c>
      <c r="I79" s="16">
        <v>132.1</v>
      </c>
      <c r="J79" s="2" t="s">
        <v>158</v>
      </c>
      <c r="K79" s="16">
        <v>81.7</v>
      </c>
      <c r="L79" s="16">
        <v>69.5</v>
      </c>
      <c r="M79" s="16">
        <v>55.2</v>
      </c>
      <c r="N79" s="16" t="s">
        <v>170</v>
      </c>
      <c r="O79" s="16" t="s">
        <v>155</v>
      </c>
      <c r="P79" s="11" t="s">
        <v>156</v>
      </c>
    </row>
    <row r="80" spans="1:16" ht="13.5" customHeight="1" x14ac:dyDescent="0.2">
      <c r="A80" s="37" t="s">
        <v>267</v>
      </c>
      <c r="B80" s="37" t="s">
        <v>302</v>
      </c>
      <c r="C80" s="37">
        <v>566305</v>
      </c>
      <c r="D80" s="37">
        <v>135826</v>
      </c>
      <c r="E80" s="2" t="s">
        <v>158</v>
      </c>
      <c r="F80" s="37">
        <v>209</v>
      </c>
      <c r="G80" s="16">
        <v>137.30000000000001</v>
      </c>
      <c r="H80" s="16">
        <v>126.7</v>
      </c>
      <c r="I80" s="16">
        <v>132</v>
      </c>
      <c r="J80" s="2" t="s">
        <v>158</v>
      </c>
      <c r="K80" s="16">
        <v>75.3</v>
      </c>
      <c r="L80" s="16">
        <v>59.9</v>
      </c>
      <c r="M80" s="16">
        <v>44.4</v>
      </c>
      <c r="N80" s="16" t="s">
        <v>170</v>
      </c>
      <c r="O80" s="16" t="s">
        <v>155</v>
      </c>
      <c r="P80" s="11" t="s">
        <v>156</v>
      </c>
    </row>
    <row r="81" spans="1:16" ht="13.5" customHeight="1" x14ac:dyDescent="0.2">
      <c r="A81" s="37" t="s">
        <v>268</v>
      </c>
      <c r="B81" s="37" t="s">
        <v>302</v>
      </c>
      <c r="C81" s="37">
        <v>566308</v>
      </c>
      <c r="D81" s="37">
        <v>135640</v>
      </c>
      <c r="E81" s="2" t="s">
        <v>158</v>
      </c>
      <c r="F81" s="37">
        <v>209.4</v>
      </c>
      <c r="G81" s="16">
        <v>137.4</v>
      </c>
      <c r="H81" s="16">
        <v>126.8</v>
      </c>
      <c r="I81" s="16" t="s">
        <v>307</v>
      </c>
      <c r="J81" s="2" t="s">
        <v>158</v>
      </c>
      <c r="K81" s="16">
        <v>74</v>
      </c>
      <c r="L81" s="16">
        <v>59</v>
      </c>
      <c r="M81" s="16">
        <v>42.2</v>
      </c>
      <c r="N81" s="16" t="s">
        <v>170</v>
      </c>
      <c r="O81" s="16" t="s">
        <v>155</v>
      </c>
      <c r="P81" s="11" t="s">
        <v>156</v>
      </c>
    </row>
    <row r="82" spans="1:16" ht="13.5" customHeight="1" x14ac:dyDescent="0.2">
      <c r="A82" s="37" t="s">
        <v>269</v>
      </c>
      <c r="B82" s="37" t="s">
        <v>171</v>
      </c>
      <c r="C82" s="37">
        <v>565311</v>
      </c>
      <c r="D82" s="37">
        <v>135039</v>
      </c>
      <c r="E82" s="2" t="s">
        <v>158</v>
      </c>
      <c r="F82" s="37">
        <v>198.4</v>
      </c>
      <c r="G82" s="16">
        <v>139.4</v>
      </c>
      <c r="H82" s="16">
        <v>128.69999999999999</v>
      </c>
      <c r="I82" s="16">
        <v>134.1</v>
      </c>
      <c r="J82" s="2" t="s">
        <v>158</v>
      </c>
      <c r="K82" s="16">
        <v>69.3</v>
      </c>
      <c r="L82" s="16">
        <v>47.9</v>
      </c>
      <c r="M82" s="16">
        <v>21</v>
      </c>
      <c r="N82" s="16" t="s">
        <v>170</v>
      </c>
      <c r="O82" s="16" t="s">
        <v>155</v>
      </c>
      <c r="P82" s="11" t="s">
        <v>156</v>
      </c>
    </row>
    <row r="83" spans="1:16" ht="13.5" customHeight="1" x14ac:dyDescent="0.2">
      <c r="A83" s="37" t="s">
        <v>270</v>
      </c>
      <c r="B83" s="37" t="s">
        <v>302</v>
      </c>
      <c r="C83" s="37">
        <v>566952</v>
      </c>
      <c r="D83" s="37">
        <v>135806</v>
      </c>
      <c r="E83" s="2" t="s">
        <v>158</v>
      </c>
      <c r="F83" s="37">
        <v>204.5</v>
      </c>
      <c r="G83" s="16">
        <v>135.9</v>
      </c>
      <c r="H83" s="16" t="s">
        <v>305</v>
      </c>
      <c r="I83" s="16">
        <v>110</v>
      </c>
      <c r="J83" s="2" t="s">
        <v>158</v>
      </c>
      <c r="K83" s="16">
        <v>79.900000000000006</v>
      </c>
      <c r="L83" s="16">
        <v>68.3</v>
      </c>
      <c r="M83" s="16">
        <v>49.6</v>
      </c>
      <c r="N83" s="16" t="s">
        <v>170</v>
      </c>
      <c r="O83" s="16" t="s">
        <v>155</v>
      </c>
      <c r="P83" s="11" t="s">
        <v>156</v>
      </c>
    </row>
    <row r="84" spans="1:16" ht="13.5" customHeight="1" x14ac:dyDescent="0.2">
      <c r="A84" s="37" t="s">
        <v>271</v>
      </c>
      <c r="B84" s="37" t="s">
        <v>151</v>
      </c>
      <c r="C84" s="37">
        <v>566926</v>
      </c>
      <c r="D84" s="37">
        <v>135325</v>
      </c>
      <c r="E84" s="2" t="s">
        <v>158</v>
      </c>
      <c r="F84" s="37">
        <v>206.1</v>
      </c>
      <c r="G84" s="16">
        <v>137.6</v>
      </c>
      <c r="H84" s="16" t="s">
        <v>315</v>
      </c>
      <c r="I84" s="16">
        <v>106.3</v>
      </c>
      <c r="J84" s="2" t="s">
        <v>158</v>
      </c>
      <c r="K84" s="16">
        <v>71.7</v>
      </c>
      <c r="L84" s="16">
        <v>60.5</v>
      </c>
      <c r="M84" s="16">
        <v>42</v>
      </c>
      <c r="N84" s="16" t="s">
        <v>170</v>
      </c>
      <c r="O84" s="16" t="s">
        <v>155</v>
      </c>
      <c r="P84" s="11" t="s">
        <v>156</v>
      </c>
    </row>
    <row r="85" spans="1:16" ht="13.5" customHeight="1" x14ac:dyDescent="0.2">
      <c r="A85" s="37" t="s">
        <v>272</v>
      </c>
      <c r="B85" s="37" t="s">
        <v>171</v>
      </c>
      <c r="C85" s="37">
        <v>566422</v>
      </c>
      <c r="D85" s="37">
        <v>135465</v>
      </c>
      <c r="E85" s="2" t="s">
        <v>158</v>
      </c>
      <c r="F85" s="37">
        <v>208.3</v>
      </c>
      <c r="G85" s="16">
        <v>148.80000000000001</v>
      </c>
      <c r="H85" s="16">
        <v>97.3</v>
      </c>
      <c r="I85" s="16">
        <v>123.1</v>
      </c>
      <c r="J85" s="2" t="s">
        <v>158</v>
      </c>
      <c r="K85" s="16">
        <v>72.900000000000006</v>
      </c>
      <c r="L85" s="16">
        <v>58.5</v>
      </c>
      <c r="M85" s="16">
        <v>40.9</v>
      </c>
      <c r="N85" s="16" t="s">
        <v>170</v>
      </c>
      <c r="O85" s="16" t="s">
        <v>155</v>
      </c>
      <c r="P85" s="11" t="s">
        <v>156</v>
      </c>
    </row>
    <row r="86" spans="1:16" ht="13.5" customHeight="1" x14ac:dyDescent="0.2">
      <c r="A86" s="37" t="s">
        <v>273</v>
      </c>
      <c r="B86" s="37" t="s">
        <v>151</v>
      </c>
      <c r="C86" s="37">
        <v>566380</v>
      </c>
      <c r="D86" s="37">
        <v>134733</v>
      </c>
      <c r="E86" s="2" t="s">
        <v>158</v>
      </c>
      <c r="F86" s="37">
        <v>201.8</v>
      </c>
      <c r="G86" s="16">
        <v>150</v>
      </c>
      <c r="H86" s="16">
        <v>128.69999999999999</v>
      </c>
      <c r="I86" s="16">
        <v>139.30000000000001</v>
      </c>
      <c r="J86" s="2" t="s">
        <v>158</v>
      </c>
      <c r="K86" s="16">
        <v>69.5</v>
      </c>
      <c r="L86" s="16">
        <v>54.7</v>
      </c>
      <c r="M86" s="16">
        <v>32</v>
      </c>
      <c r="N86" s="16" t="s">
        <v>170</v>
      </c>
      <c r="O86" s="16" t="s">
        <v>155</v>
      </c>
      <c r="P86" s="11" t="s">
        <v>156</v>
      </c>
    </row>
    <row r="87" spans="1:16" ht="13.5" customHeight="1" x14ac:dyDescent="0.2">
      <c r="A87" s="37" t="s">
        <v>274</v>
      </c>
      <c r="B87" s="37" t="s">
        <v>302</v>
      </c>
      <c r="C87" s="37">
        <v>566605</v>
      </c>
      <c r="D87" s="37">
        <v>135426</v>
      </c>
      <c r="E87" s="2" t="s">
        <v>158</v>
      </c>
      <c r="F87" s="37">
        <v>207.9</v>
      </c>
      <c r="G87" s="16">
        <v>136.4</v>
      </c>
      <c r="H87" s="16">
        <v>125.8</v>
      </c>
      <c r="I87" s="16" t="s">
        <v>316</v>
      </c>
      <c r="J87" s="2" t="s">
        <v>158</v>
      </c>
      <c r="K87" s="16">
        <v>72.8</v>
      </c>
      <c r="L87" s="16">
        <v>58.3</v>
      </c>
      <c r="M87" s="16">
        <v>41.6</v>
      </c>
      <c r="N87" s="16" t="s">
        <v>170</v>
      </c>
      <c r="O87" s="16" t="s">
        <v>155</v>
      </c>
      <c r="P87" s="11" t="s">
        <v>156</v>
      </c>
    </row>
    <row r="88" spans="1:16" ht="13.5" customHeight="1" x14ac:dyDescent="0.2">
      <c r="A88" s="37" t="s">
        <v>275</v>
      </c>
      <c r="B88" s="37" t="s">
        <v>304</v>
      </c>
      <c r="C88" s="37">
        <v>566098</v>
      </c>
      <c r="D88" s="37">
        <v>134979</v>
      </c>
      <c r="E88" s="2" t="s">
        <v>158</v>
      </c>
      <c r="F88" s="37">
        <v>204.3</v>
      </c>
      <c r="G88" s="16">
        <v>144.69999999999999</v>
      </c>
      <c r="H88" s="16">
        <v>135.5</v>
      </c>
      <c r="I88" s="16">
        <v>140.1</v>
      </c>
      <c r="J88" s="2" t="s">
        <v>158</v>
      </c>
      <c r="K88" s="16">
        <v>69.599999999999994</v>
      </c>
      <c r="L88" s="16">
        <v>58.1</v>
      </c>
      <c r="M88" s="16">
        <v>31.6</v>
      </c>
      <c r="N88" s="16" t="s">
        <v>170</v>
      </c>
      <c r="O88" s="16" t="s">
        <v>155</v>
      </c>
      <c r="P88" s="11" t="s">
        <v>156</v>
      </c>
    </row>
    <row r="89" spans="1:16" ht="13.5" customHeight="1" x14ac:dyDescent="0.2">
      <c r="A89" s="37" t="s">
        <v>276</v>
      </c>
      <c r="B89" s="37" t="s">
        <v>151</v>
      </c>
      <c r="C89" s="37">
        <v>566089</v>
      </c>
      <c r="D89" s="37">
        <v>134990</v>
      </c>
      <c r="E89" s="2" t="s">
        <v>158</v>
      </c>
      <c r="F89" s="37">
        <v>204.2</v>
      </c>
      <c r="G89" s="16">
        <v>77.3</v>
      </c>
      <c r="H89" s="16">
        <v>67.900000000000006</v>
      </c>
      <c r="I89" s="16">
        <v>72.599999999999994</v>
      </c>
      <c r="J89" s="2" t="s">
        <v>158</v>
      </c>
      <c r="K89" s="16">
        <v>69.8</v>
      </c>
      <c r="L89" s="16">
        <v>58.2</v>
      </c>
      <c r="M89" s="16">
        <v>31.6</v>
      </c>
      <c r="N89" s="16" t="s">
        <v>170</v>
      </c>
      <c r="O89" s="16" t="s">
        <v>155</v>
      </c>
      <c r="P89" s="11" t="s">
        <v>156</v>
      </c>
    </row>
    <row r="90" spans="1:16" ht="13.5" customHeight="1" x14ac:dyDescent="0.2">
      <c r="A90" s="37" t="s">
        <v>277</v>
      </c>
      <c r="B90" s="37" t="s">
        <v>151</v>
      </c>
      <c r="C90" s="37">
        <v>566863</v>
      </c>
      <c r="D90" s="37">
        <v>135197</v>
      </c>
      <c r="E90" s="2" t="s">
        <v>158</v>
      </c>
      <c r="F90" s="37">
        <v>205.1</v>
      </c>
      <c r="G90" s="16">
        <v>132</v>
      </c>
      <c r="H90" s="16">
        <v>122.8</v>
      </c>
      <c r="I90" s="16">
        <v>127.4</v>
      </c>
      <c r="J90" s="2" t="s">
        <v>158</v>
      </c>
      <c r="K90" s="16">
        <v>70.5</v>
      </c>
      <c r="L90" s="16">
        <v>59.4</v>
      </c>
      <c r="M90" s="16">
        <v>40.6</v>
      </c>
      <c r="N90" s="16" t="s">
        <v>170</v>
      </c>
      <c r="O90" s="16" t="s">
        <v>155</v>
      </c>
      <c r="P90" s="11" t="s">
        <v>156</v>
      </c>
    </row>
    <row r="91" spans="1:16" ht="13.5" customHeight="1" x14ac:dyDescent="0.2">
      <c r="A91" s="37" t="s">
        <v>278</v>
      </c>
      <c r="B91" s="37" t="s">
        <v>172</v>
      </c>
      <c r="C91" s="37">
        <v>566723</v>
      </c>
      <c r="D91" s="37">
        <v>134996</v>
      </c>
      <c r="E91" s="2" t="s">
        <v>158</v>
      </c>
      <c r="F91" s="37">
        <v>202.7</v>
      </c>
      <c r="G91" s="16">
        <v>136.19999999999999</v>
      </c>
      <c r="H91" s="16">
        <v>125.5</v>
      </c>
      <c r="I91" s="16">
        <v>130.9</v>
      </c>
      <c r="J91" s="2" t="s">
        <v>158</v>
      </c>
      <c r="K91" s="16">
        <v>69.400000000000006</v>
      </c>
      <c r="L91" s="16">
        <v>57.9</v>
      </c>
      <c r="M91" s="16">
        <v>37.799999999999997</v>
      </c>
      <c r="N91" s="16" t="s">
        <v>170</v>
      </c>
      <c r="O91" s="16" t="s">
        <v>155</v>
      </c>
      <c r="P91" s="11" t="s">
        <v>156</v>
      </c>
    </row>
    <row r="92" spans="1:16" ht="13.5" customHeight="1" x14ac:dyDescent="0.2">
      <c r="A92" s="37" t="s">
        <v>279</v>
      </c>
      <c r="B92" s="37" t="s">
        <v>171</v>
      </c>
      <c r="C92" s="37">
        <v>566513</v>
      </c>
      <c r="D92" s="37">
        <v>135413</v>
      </c>
      <c r="E92" s="2" t="s">
        <v>158</v>
      </c>
      <c r="F92" s="37">
        <v>208.1</v>
      </c>
      <c r="G92">
        <f>F92-(0/3.28404)</f>
        <v>208.1</v>
      </c>
      <c r="H92" s="16">
        <f>(G92+I92)/2</f>
        <v>162.72905445731476</v>
      </c>
      <c r="I92" s="16">
        <f>F92-(298/3.28404)</f>
        <v>117.35810891462954</v>
      </c>
      <c r="J92" s="16" t="s">
        <v>318</v>
      </c>
      <c r="K92" s="16">
        <v>72.5</v>
      </c>
      <c r="L92" s="16">
        <v>58.3</v>
      </c>
      <c r="M92" s="16">
        <v>40.799999999999997</v>
      </c>
      <c r="N92" s="16" t="s">
        <v>312</v>
      </c>
      <c r="O92" s="16" t="s">
        <v>317</v>
      </c>
      <c r="P92" s="11" t="s">
        <v>154</v>
      </c>
    </row>
    <row r="93" spans="1:16" ht="13.5" customHeight="1" x14ac:dyDescent="0.2">
      <c r="A93" s="37" t="s">
        <v>280</v>
      </c>
      <c r="B93" s="37" t="s">
        <v>302</v>
      </c>
      <c r="C93" s="37">
        <v>566581</v>
      </c>
      <c r="D93" s="37">
        <v>135410</v>
      </c>
      <c r="E93" s="2" t="s">
        <v>158</v>
      </c>
      <c r="F93" s="37">
        <v>207.1</v>
      </c>
      <c r="G93" s="16">
        <v>147.30000000000001</v>
      </c>
      <c r="H93" s="16">
        <v>141.19999999999999</v>
      </c>
      <c r="I93" s="16">
        <v>144.30000000000001</v>
      </c>
      <c r="J93" s="2" t="s">
        <v>158</v>
      </c>
      <c r="K93" s="16">
        <v>72.599999999999994</v>
      </c>
      <c r="L93" s="16">
        <v>58.3</v>
      </c>
      <c r="M93" s="16">
        <v>41.3</v>
      </c>
      <c r="N93" s="16" t="s">
        <v>170</v>
      </c>
      <c r="O93" s="16" t="s">
        <v>155</v>
      </c>
      <c r="P93" s="11" t="s">
        <v>156</v>
      </c>
    </row>
    <row r="94" spans="1:16" ht="13.5" customHeight="1" x14ac:dyDescent="0.2">
      <c r="A94" s="37" t="s">
        <v>281</v>
      </c>
      <c r="B94" s="37" t="s">
        <v>172</v>
      </c>
      <c r="C94" s="37">
        <v>567939</v>
      </c>
      <c r="D94" s="37">
        <v>135014</v>
      </c>
      <c r="E94" s="2" t="s">
        <v>158</v>
      </c>
      <c r="F94" s="37">
        <v>213.4</v>
      </c>
      <c r="G94" s="16">
        <v>134.1</v>
      </c>
      <c r="H94" s="16">
        <v>123.5</v>
      </c>
      <c r="I94" s="16">
        <v>128.80000000000001</v>
      </c>
      <c r="J94" s="2" t="s">
        <v>158</v>
      </c>
      <c r="K94" s="16">
        <v>81.900000000000006</v>
      </c>
      <c r="L94" s="16">
        <v>71.400000000000006</v>
      </c>
      <c r="M94" s="16">
        <v>43.7</v>
      </c>
      <c r="N94" s="16" t="s">
        <v>170</v>
      </c>
      <c r="O94" s="16" t="s">
        <v>155</v>
      </c>
      <c r="P94" s="11" t="s">
        <v>156</v>
      </c>
    </row>
    <row r="95" spans="1:16" ht="13.5" customHeight="1" x14ac:dyDescent="0.2">
      <c r="A95" s="37" t="s">
        <v>282</v>
      </c>
      <c r="B95" s="37" t="s">
        <v>172</v>
      </c>
      <c r="C95" s="37">
        <v>567565</v>
      </c>
      <c r="D95" s="37">
        <v>134745</v>
      </c>
      <c r="E95" s="2" t="s">
        <v>158</v>
      </c>
      <c r="F95" s="37">
        <v>213</v>
      </c>
      <c r="G95" s="16">
        <v>135.19999999999999</v>
      </c>
      <c r="H95" s="16">
        <v>124.5</v>
      </c>
      <c r="I95" s="16">
        <v>129.80000000000001</v>
      </c>
      <c r="J95" s="2" t="s">
        <v>158</v>
      </c>
      <c r="K95" s="16">
        <v>74.8</v>
      </c>
      <c r="L95" s="16">
        <v>63.1</v>
      </c>
      <c r="M95" s="16">
        <v>41.1</v>
      </c>
      <c r="N95" s="16" t="s">
        <v>170</v>
      </c>
      <c r="O95" s="16" t="s">
        <v>155</v>
      </c>
      <c r="P95" s="11" t="s">
        <v>156</v>
      </c>
    </row>
    <row r="96" spans="1:16" ht="13.5" customHeight="1" x14ac:dyDescent="0.2">
      <c r="A96" s="37" t="s">
        <v>283</v>
      </c>
      <c r="B96" s="37" t="s">
        <v>151</v>
      </c>
      <c r="C96" s="37">
        <v>567998</v>
      </c>
      <c r="D96" s="37">
        <v>135206</v>
      </c>
      <c r="E96" s="2" t="s">
        <v>158</v>
      </c>
      <c r="F96" s="37">
        <v>216.7</v>
      </c>
      <c r="G96" s="16">
        <v>122</v>
      </c>
      <c r="H96" s="16">
        <v>117.4</v>
      </c>
      <c r="I96" s="16">
        <v>119.7</v>
      </c>
      <c r="J96" s="2" t="s">
        <v>158</v>
      </c>
      <c r="K96" s="16">
        <v>83.1</v>
      </c>
      <c r="L96" s="16">
        <v>74.8</v>
      </c>
      <c r="M96" s="16">
        <v>47.3</v>
      </c>
      <c r="N96" s="16" t="s">
        <v>170</v>
      </c>
      <c r="O96" s="16" t="s">
        <v>155</v>
      </c>
      <c r="P96" s="11" t="s">
        <v>156</v>
      </c>
    </row>
    <row r="97" spans="1:16" ht="13.5" customHeight="1" x14ac:dyDescent="0.2">
      <c r="A97" s="37" t="s">
        <v>321</v>
      </c>
      <c r="B97" s="37" t="s">
        <v>172</v>
      </c>
      <c r="C97" s="37">
        <v>567690</v>
      </c>
      <c r="D97" s="37">
        <v>135008</v>
      </c>
      <c r="E97" s="2" t="s">
        <v>158</v>
      </c>
      <c r="F97" s="37">
        <v>214.5</v>
      </c>
      <c r="G97" s="16">
        <v>127.4</v>
      </c>
      <c r="H97" s="16">
        <v>104.5</v>
      </c>
      <c r="I97" s="16">
        <v>115.9</v>
      </c>
      <c r="J97" s="2" t="s">
        <v>158</v>
      </c>
      <c r="K97" s="16">
        <v>81.900000000000006</v>
      </c>
      <c r="L97" s="16">
        <v>67.599999999999994</v>
      </c>
      <c r="M97" s="16">
        <v>44.2</v>
      </c>
      <c r="N97" s="16" t="s">
        <v>170</v>
      </c>
      <c r="O97" s="16" t="s">
        <v>155</v>
      </c>
      <c r="P97" s="11" t="s">
        <v>156</v>
      </c>
    </row>
    <row r="98" spans="1:16" ht="13.5" customHeight="1" x14ac:dyDescent="0.2">
      <c r="A98" s="37" t="s">
        <v>284</v>
      </c>
      <c r="B98" s="37" t="s">
        <v>172</v>
      </c>
      <c r="C98" s="37">
        <v>567902</v>
      </c>
      <c r="D98" s="37">
        <v>135013</v>
      </c>
      <c r="E98" s="2" t="s">
        <v>158</v>
      </c>
      <c r="F98" s="37">
        <v>213.7</v>
      </c>
      <c r="G98" s="16">
        <v>128.1</v>
      </c>
      <c r="H98" s="16">
        <v>105.2</v>
      </c>
      <c r="I98" s="16">
        <v>116.7</v>
      </c>
      <c r="J98" s="2" t="s">
        <v>158</v>
      </c>
      <c r="K98" s="16">
        <v>82.1</v>
      </c>
      <c r="L98" s="16">
        <v>70.8</v>
      </c>
      <c r="M98" s="16">
        <v>43.9</v>
      </c>
      <c r="N98" s="16" t="s">
        <v>170</v>
      </c>
      <c r="O98" s="16" t="s">
        <v>155</v>
      </c>
      <c r="P98" s="11" t="s">
        <v>156</v>
      </c>
    </row>
    <row r="99" spans="1:16" ht="13.5" customHeight="1" x14ac:dyDescent="0.2">
      <c r="A99" s="37" t="s">
        <v>285</v>
      </c>
      <c r="B99" s="37" t="s">
        <v>151</v>
      </c>
      <c r="C99" s="37">
        <v>567372</v>
      </c>
      <c r="D99" s="37">
        <v>135012</v>
      </c>
      <c r="E99" s="2" t="s">
        <v>158</v>
      </c>
      <c r="F99" s="37">
        <v>213.4</v>
      </c>
      <c r="G99" s="16">
        <v>129.5</v>
      </c>
      <c r="H99" s="16">
        <v>118.8</v>
      </c>
      <c r="I99" s="16">
        <v>124.2</v>
      </c>
      <c r="J99" s="2" t="s">
        <v>158</v>
      </c>
      <c r="K99" s="16">
        <v>76.5</v>
      </c>
      <c r="L99" s="16">
        <v>64</v>
      </c>
      <c r="M99" s="16">
        <v>41.9</v>
      </c>
      <c r="N99" s="16" t="s">
        <v>170</v>
      </c>
      <c r="O99" s="16" t="s">
        <v>155</v>
      </c>
      <c r="P99" s="11" t="s">
        <v>156</v>
      </c>
    </row>
    <row r="100" spans="1:16" ht="13.5" customHeight="1" x14ac:dyDescent="0.2">
      <c r="A100" s="37" t="s">
        <v>286</v>
      </c>
      <c r="B100" s="37" t="s">
        <v>172</v>
      </c>
      <c r="C100" s="37">
        <v>568510</v>
      </c>
      <c r="D100" s="37">
        <v>135090</v>
      </c>
      <c r="E100" s="2" t="s">
        <v>158</v>
      </c>
      <c r="F100" s="37">
        <v>217.7</v>
      </c>
      <c r="G100" s="16">
        <v>130.1</v>
      </c>
      <c r="H100" s="16">
        <v>119.4</v>
      </c>
      <c r="I100" s="16">
        <v>124.7</v>
      </c>
      <c r="J100" s="2" t="s">
        <v>158</v>
      </c>
      <c r="K100" s="16">
        <v>81.900000000000006</v>
      </c>
      <c r="L100" s="16">
        <v>80.400000000000006</v>
      </c>
      <c r="M100" s="16">
        <v>39.4</v>
      </c>
      <c r="N100" s="16" t="s">
        <v>170</v>
      </c>
      <c r="O100" s="16" t="s">
        <v>155</v>
      </c>
      <c r="P100" s="11" t="s">
        <v>156</v>
      </c>
    </row>
    <row r="101" spans="1:16" ht="13.5" customHeight="1" x14ac:dyDescent="0.2">
      <c r="A101" s="37" t="s">
        <v>287</v>
      </c>
      <c r="B101" s="37" t="s">
        <v>151</v>
      </c>
      <c r="C101" s="37">
        <v>566897</v>
      </c>
      <c r="D101" s="37">
        <v>135059</v>
      </c>
      <c r="E101" s="2" t="s">
        <v>158</v>
      </c>
      <c r="F101" s="37">
        <v>205.7</v>
      </c>
      <c r="G101" s="16">
        <v>141.69999999999999</v>
      </c>
      <c r="H101" s="16">
        <v>129.5</v>
      </c>
      <c r="I101" s="16">
        <v>135.6</v>
      </c>
      <c r="J101" s="2" t="s">
        <v>158</v>
      </c>
      <c r="K101" s="16">
        <v>70.3</v>
      </c>
      <c r="L101" s="16">
        <v>59.7</v>
      </c>
      <c r="M101" s="16">
        <v>39.6</v>
      </c>
      <c r="N101" s="16" t="s">
        <v>170</v>
      </c>
      <c r="O101" s="16" t="s">
        <v>155</v>
      </c>
      <c r="P101" s="11" t="s">
        <v>156</v>
      </c>
    </row>
    <row r="102" spans="1:16" ht="13.5" customHeight="1" x14ac:dyDescent="0.2">
      <c r="A102" s="37" t="s">
        <v>288</v>
      </c>
      <c r="B102" s="37" t="s">
        <v>172</v>
      </c>
      <c r="C102" s="37">
        <v>567512</v>
      </c>
      <c r="D102" s="37">
        <v>134988</v>
      </c>
      <c r="E102" s="2" t="s">
        <v>158</v>
      </c>
      <c r="F102" s="37">
        <v>214.4</v>
      </c>
      <c r="G102" s="16">
        <v>95.9</v>
      </c>
      <c r="H102" s="16">
        <v>80.7</v>
      </c>
      <c r="I102" s="16">
        <v>88.3</v>
      </c>
      <c r="J102" s="2" t="s">
        <v>158</v>
      </c>
      <c r="K102" s="16">
        <v>78.2</v>
      </c>
      <c r="L102" s="16">
        <v>65.099999999999994</v>
      </c>
      <c r="M102" s="16">
        <v>42.7</v>
      </c>
      <c r="N102" s="16" t="s">
        <v>170</v>
      </c>
      <c r="O102" s="16" t="s">
        <v>155</v>
      </c>
      <c r="P102" s="11" t="s">
        <v>156</v>
      </c>
    </row>
    <row r="103" spans="1:16" ht="13.5" customHeight="1" x14ac:dyDescent="0.2">
      <c r="A103" s="37" t="s">
        <v>289</v>
      </c>
      <c r="B103" s="37" t="s">
        <v>151</v>
      </c>
      <c r="C103" s="37">
        <v>567720</v>
      </c>
      <c r="D103" s="37">
        <v>135091</v>
      </c>
      <c r="E103" s="2" t="s">
        <v>158</v>
      </c>
      <c r="F103" s="37">
        <v>215.6</v>
      </c>
      <c r="G103" s="16">
        <v>130.9</v>
      </c>
      <c r="H103" s="16">
        <v>85.5</v>
      </c>
      <c r="I103" s="16">
        <v>108.2</v>
      </c>
      <c r="J103" s="2" t="s">
        <v>158</v>
      </c>
      <c r="K103" s="16" t="s">
        <v>305</v>
      </c>
      <c r="L103" s="16">
        <v>68.900000000000006</v>
      </c>
      <c r="M103" s="16">
        <v>44.9</v>
      </c>
      <c r="N103" s="16" t="s">
        <v>170</v>
      </c>
      <c r="O103" s="16" t="s">
        <v>155</v>
      </c>
      <c r="P103" s="11" t="s">
        <v>156</v>
      </c>
    </row>
    <row r="104" spans="1:16" ht="13.5" customHeight="1" x14ac:dyDescent="0.2">
      <c r="A104" s="37" t="s">
        <v>290</v>
      </c>
      <c r="B104" s="37" t="s">
        <v>172</v>
      </c>
      <c r="C104" s="37">
        <v>567397</v>
      </c>
      <c r="D104" s="37">
        <v>135101</v>
      </c>
      <c r="E104" s="2" t="s">
        <v>158</v>
      </c>
      <c r="F104" s="37">
        <v>214.9</v>
      </c>
      <c r="G104" s="16">
        <v>118.3</v>
      </c>
      <c r="H104" s="16">
        <v>84.8</v>
      </c>
      <c r="I104" s="16">
        <v>101.5</v>
      </c>
      <c r="J104" s="2" t="s">
        <v>158</v>
      </c>
      <c r="K104" s="16">
        <v>78.7</v>
      </c>
      <c r="L104" s="16">
        <v>65</v>
      </c>
      <c r="M104" s="16">
        <v>42.5</v>
      </c>
      <c r="N104" s="16" t="s">
        <v>170</v>
      </c>
      <c r="O104" s="16" t="s">
        <v>155</v>
      </c>
      <c r="P104" s="11" t="s">
        <v>156</v>
      </c>
    </row>
    <row r="105" spans="1:16" ht="13.5" customHeight="1" x14ac:dyDescent="0.2">
      <c r="A105" s="37" t="s">
        <v>291</v>
      </c>
      <c r="B105" s="37" t="s">
        <v>151</v>
      </c>
      <c r="C105" s="37">
        <v>568060</v>
      </c>
      <c r="D105" s="37">
        <v>135008</v>
      </c>
      <c r="E105" s="2" t="s">
        <v>158</v>
      </c>
      <c r="F105" s="37">
        <v>213.1</v>
      </c>
      <c r="G105" s="16">
        <v>130.1</v>
      </c>
      <c r="H105" s="16">
        <v>124</v>
      </c>
      <c r="I105" s="16">
        <v>127</v>
      </c>
      <c r="J105" s="2" t="s">
        <v>158</v>
      </c>
      <c r="K105" s="16">
        <v>81.3</v>
      </c>
      <c r="L105" s="16">
        <v>73.2</v>
      </c>
      <c r="M105" s="16">
        <v>42.3</v>
      </c>
      <c r="N105" s="16" t="s">
        <v>170</v>
      </c>
      <c r="O105" s="16" t="s">
        <v>155</v>
      </c>
      <c r="P105" s="11" t="s">
        <v>156</v>
      </c>
    </row>
    <row r="106" spans="1:16" ht="13.5" customHeight="1" x14ac:dyDescent="0.2">
      <c r="A106" s="37" t="s">
        <v>292</v>
      </c>
      <c r="B106" s="37" t="s">
        <v>151</v>
      </c>
      <c r="C106" s="37">
        <v>567361</v>
      </c>
      <c r="D106" s="37">
        <v>135012</v>
      </c>
      <c r="E106" s="2" t="s">
        <v>158</v>
      </c>
      <c r="F106" s="37">
        <v>213.5</v>
      </c>
      <c r="G106" s="16">
        <v>143.4</v>
      </c>
      <c r="H106" s="16">
        <v>129.69999999999999</v>
      </c>
      <c r="I106" s="16">
        <v>136.5</v>
      </c>
      <c r="J106" s="2" t="s">
        <v>158</v>
      </c>
      <c r="K106" s="16">
        <v>76.3</v>
      </c>
      <c r="L106" s="16">
        <v>63.9</v>
      </c>
      <c r="M106" s="16">
        <v>41.8</v>
      </c>
      <c r="N106" s="16" t="s">
        <v>170</v>
      </c>
      <c r="O106" s="16" t="s">
        <v>155</v>
      </c>
      <c r="P106" s="11" t="s">
        <v>156</v>
      </c>
    </row>
    <row r="107" spans="1:16" ht="13.5" customHeight="1" x14ac:dyDescent="0.2">
      <c r="A107" s="37" t="s">
        <v>293</v>
      </c>
      <c r="B107" s="37" t="s">
        <v>172</v>
      </c>
      <c r="C107" s="37">
        <v>567674</v>
      </c>
      <c r="D107" s="37">
        <v>135012</v>
      </c>
      <c r="E107" s="2" t="s">
        <v>158</v>
      </c>
      <c r="F107" s="37">
        <v>214.5</v>
      </c>
      <c r="G107" s="16">
        <v>115.7</v>
      </c>
      <c r="H107" s="16">
        <v>111</v>
      </c>
      <c r="I107" s="16">
        <v>113.3</v>
      </c>
      <c r="J107" s="2" t="s">
        <v>158</v>
      </c>
      <c r="K107" s="16">
        <v>81.900000000000006</v>
      </c>
      <c r="L107" s="16">
        <v>67.400000000000006</v>
      </c>
      <c r="M107" s="16">
        <v>44.2</v>
      </c>
      <c r="N107" s="16" t="s">
        <v>170</v>
      </c>
      <c r="O107" s="16" t="s">
        <v>155</v>
      </c>
      <c r="P107" s="11" t="s">
        <v>156</v>
      </c>
    </row>
    <row r="108" spans="1:16" ht="13.5" customHeight="1" x14ac:dyDescent="0.2">
      <c r="A108" s="37" t="s">
        <v>294</v>
      </c>
      <c r="B108" s="37" t="s">
        <v>172</v>
      </c>
      <c r="C108" s="37">
        <v>567663</v>
      </c>
      <c r="D108" s="37">
        <v>135011</v>
      </c>
      <c r="E108" s="2" t="s">
        <v>158</v>
      </c>
      <c r="F108" s="37">
        <v>214.5</v>
      </c>
      <c r="G108" s="16">
        <v>89</v>
      </c>
      <c r="H108" s="16">
        <v>86.1</v>
      </c>
      <c r="I108" s="16">
        <v>87.6</v>
      </c>
      <c r="J108" s="2" t="s">
        <v>158</v>
      </c>
      <c r="K108" s="16">
        <v>81.7</v>
      </c>
      <c r="L108" s="16">
        <v>67.2</v>
      </c>
      <c r="M108" s="16">
        <v>44.1</v>
      </c>
      <c r="N108" s="16" t="s">
        <v>170</v>
      </c>
      <c r="O108" s="16" t="s">
        <v>155</v>
      </c>
      <c r="P108" s="11" t="s">
        <v>156</v>
      </c>
    </row>
    <row r="109" spans="1:16" ht="13.5" customHeight="1" x14ac:dyDescent="0.2">
      <c r="A109" s="37" t="s">
        <v>295</v>
      </c>
      <c r="B109" s="37" t="s">
        <v>151</v>
      </c>
      <c r="C109" s="37">
        <v>567992</v>
      </c>
      <c r="D109" s="37">
        <v>135015</v>
      </c>
      <c r="E109" s="2" t="s">
        <v>158</v>
      </c>
      <c r="F109" s="37">
        <v>212.9</v>
      </c>
      <c r="G109" s="16">
        <v>139.80000000000001</v>
      </c>
      <c r="H109" s="16">
        <v>130.6</v>
      </c>
      <c r="I109" s="16">
        <v>135.19999999999999</v>
      </c>
      <c r="J109" s="2" t="s">
        <v>158</v>
      </c>
      <c r="K109" s="16">
        <v>81.599999999999994</v>
      </c>
      <c r="L109" s="16">
        <v>72.2</v>
      </c>
      <c r="M109" s="16">
        <v>43.2</v>
      </c>
      <c r="N109" s="16" t="s">
        <v>170</v>
      </c>
      <c r="O109" s="16" t="s">
        <v>155</v>
      </c>
      <c r="P109" s="11" t="s">
        <v>156</v>
      </c>
    </row>
    <row r="110" spans="1:16" ht="13.5" customHeight="1" x14ac:dyDescent="0.2">
      <c r="A110" s="37" t="s">
        <v>296</v>
      </c>
      <c r="B110" s="37" t="s">
        <v>172</v>
      </c>
      <c r="C110" s="37">
        <v>567635</v>
      </c>
      <c r="D110" s="37">
        <v>135017</v>
      </c>
      <c r="E110" s="2" t="s">
        <v>158</v>
      </c>
      <c r="F110" s="37">
        <v>214.9</v>
      </c>
      <c r="G110" s="16">
        <v>132.69999999999999</v>
      </c>
      <c r="H110" s="16">
        <v>126.6</v>
      </c>
      <c r="I110" s="16">
        <v>129.6</v>
      </c>
      <c r="J110" s="2" t="s">
        <v>158</v>
      </c>
      <c r="K110" s="16">
        <v>81.3</v>
      </c>
      <c r="L110" s="16">
        <v>66.900000000000006</v>
      </c>
      <c r="M110" s="16">
        <v>44</v>
      </c>
      <c r="N110" s="16" t="s">
        <v>170</v>
      </c>
      <c r="O110" s="16" t="s">
        <v>155</v>
      </c>
      <c r="P110" s="11" t="s">
        <v>156</v>
      </c>
    </row>
    <row r="111" spans="1:16" ht="13.5" customHeight="1" x14ac:dyDescent="0.2">
      <c r="A111" s="37" t="s">
        <v>297</v>
      </c>
      <c r="B111" s="37" t="s">
        <v>151</v>
      </c>
      <c r="C111" s="37">
        <v>567902</v>
      </c>
      <c r="D111" s="37">
        <v>134887</v>
      </c>
      <c r="E111" s="2" t="s">
        <v>158</v>
      </c>
      <c r="F111" s="37">
        <v>210.5</v>
      </c>
      <c r="G111" s="16">
        <v>139.1</v>
      </c>
      <c r="H111" s="16">
        <v>123.9</v>
      </c>
      <c r="I111" s="16">
        <v>131.5</v>
      </c>
      <c r="J111" s="2" t="s">
        <v>158</v>
      </c>
      <c r="K111" s="16">
        <v>80</v>
      </c>
      <c r="L111" s="16">
        <v>69.5</v>
      </c>
      <c r="M111" s="16">
        <v>42</v>
      </c>
      <c r="N111" s="16" t="s">
        <v>170</v>
      </c>
      <c r="O111" s="16" t="s">
        <v>155</v>
      </c>
      <c r="P111" s="11" t="s">
        <v>156</v>
      </c>
    </row>
    <row r="112" spans="1:16" ht="13.5" customHeight="1" x14ac:dyDescent="0.2">
      <c r="A112" s="37" t="s">
        <v>298</v>
      </c>
      <c r="B112" s="37" t="s">
        <v>172</v>
      </c>
      <c r="C112" s="37">
        <v>567950</v>
      </c>
      <c r="D112" s="37">
        <v>135351</v>
      </c>
      <c r="E112" s="2" t="s">
        <v>158</v>
      </c>
      <c r="F112" s="37">
        <v>218.7</v>
      </c>
      <c r="G112" s="16">
        <v>141</v>
      </c>
      <c r="H112" s="16">
        <v>116.6</v>
      </c>
      <c r="I112" s="16">
        <v>128.80000000000001</v>
      </c>
      <c r="J112" s="2" t="s">
        <v>158</v>
      </c>
      <c r="K112" s="16">
        <v>83.5</v>
      </c>
      <c r="L112" s="16">
        <v>76.599999999999994</v>
      </c>
      <c r="M112" s="16">
        <v>51.2</v>
      </c>
      <c r="N112" s="16" t="s">
        <v>170</v>
      </c>
      <c r="O112" s="16" t="s">
        <v>155</v>
      </c>
      <c r="P112" s="11" t="s">
        <v>156</v>
      </c>
    </row>
    <row r="113" spans="1:16" ht="13.5" customHeight="1" x14ac:dyDescent="0.2">
      <c r="A113" s="37" t="s">
        <v>299</v>
      </c>
      <c r="B113" s="37" t="s">
        <v>172</v>
      </c>
      <c r="C113" s="37">
        <v>566897</v>
      </c>
      <c r="D113" s="37">
        <v>135005</v>
      </c>
      <c r="E113" s="2" t="s">
        <v>158</v>
      </c>
      <c r="F113" s="37">
        <v>205.8</v>
      </c>
      <c r="G113" s="16">
        <v>138.69999999999999</v>
      </c>
      <c r="H113" s="16">
        <v>128</v>
      </c>
      <c r="I113" s="16">
        <v>133.4</v>
      </c>
      <c r="J113" s="2" t="s">
        <v>158</v>
      </c>
      <c r="K113" s="16">
        <v>70</v>
      </c>
      <c r="L113" s="16">
        <v>59.5</v>
      </c>
      <c r="M113" s="16">
        <v>39.200000000000003</v>
      </c>
      <c r="N113" s="16" t="s">
        <v>170</v>
      </c>
      <c r="O113" s="16" t="s">
        <v>155</v>
      </c>
      <c r="P113" s="11" t="s">
        <v>156</v>
      </c>
    </row>
    <row r="114" spans="1:16" ht="13.5" customHeight="1" x14ac:dyDescent="0.2">
      <c r="A114" s="37" t="s">
        <v>300</v>
      </c>
      <c r="B114" s="37" t="s">
        <v>151</v>
      </c>
      <c r="C114" s="37">
        <v>566897</v>
      </c>
      <c r="D114" s="37">
        <v>135123</v>
      </c>
      <c r="E114" s="2" t="s">
        <v>158</v>
      </c>
      <c r="F114" s="37">
        <v>205.5</v>
      </c>
      <c r="G114" s="16">
        <v>138.4</v>
      </c>
      <c r="H114" s="16">
        <v>127.7</v>
      </c>
      <c r="I114" s="16">
        <v>133</v>
      </c>
      <c r="J114" s="2" t="s">
        <v>158</v>
      </c>
      <c r="K114" s="16">
        <v>70.5</v>
      </c>
      <c r="L114" s="16">
        <v>59.8</v>
      </c>
      <c r="M114" s="16">
        <v>40.1</v>
      </c>
      <c r="N114" s="16" t="s">
        <v>170</v>
      </c>
      <c r="O114" s="16" t="s">
        <v>155</v>
      </c>
      <c r="P114" s="11" t="s">
        <v>156</v>
      </c>
    </row>
    <row r="115" spans="1:16" ht="13.5" customHeight="1" x14ac:dyDescent="0.2">
      <c r="A115" s="37" t="s">
        <v>301</v>
      </c>
      <c r="B115" s="37" t="s">
        <v>172</v>
      </c>
      <c r="C115" s="37">
        <v>567699</v>
      </c>
      <c r="D115" s="37">
        <v>135004</v>
      </c>
      <c r="E115" s="2" t="s">
        <v>158</v>
      </c>
      <c r="F115" s="37">
        <v>214.4</v>
      </c>
      <c r="G115" s="16">
        <v>135.9</v>
      </c>
      <c r="H115" s="16">
        <v>125.2</v>
      </c>
      <c r="I115" s="16">
        <v>130.5</v>
      </c>
      <c r="J115" s="2" t="s">
        <v>158</v>
      </c>
      <c r="K115" s="16">
        <v>81.900000000000006</v>
      </c>
      <c r="L115" s="16">
        <v>67.7</v>
      </c>
      <c r="M115" s="16">
        <v>44.1</v>
      </c>
      <c r="N115" s="16" t="s">
        <v>170</v>
      </c>
      <c r="O115" s="16" t="s">
        <v>155</v>
      </c>
      <c r="P115" s="11" t="s">
        <v>156</v>
      </c>
    </row>
    <row r="116" spans="1:16" ht="13.5" customHeight="1" x14ac:dyDescent="0.2">
      <c r="A116" s="3" t="s">
        <v>180</v>
      </c>
      <c r="B116" s="5" t="s">
        <v>0</v>
      </c>
      <c r="C116" s="12">
        <v>566897</v>
      </c>
      <c r="D116" s="12">
        <v>135042</v>
      </c>
      <c r="E116" s="2" t="s">
        <v>158</v>
      </c>
      <c r="F116" s="19">
        <v>206.5</v>
      </c>
      <c r="G116" s="19">
        <v>136.4</v>
      </c>
      <c r="H116" s="20">
        <v>125.8</v>
      </c>
      <c r="I116" s="19">
        <v>131.1</v>
      </c>
      <c r="J116" s="2" t="s">
        <v>158</v>
      </c>
      <c r="K116" s="19">
        <v>70.2</v>
      </c>
      <c r="L116" s="19">
        <v>59.6</v>
      </c>
      <c r="M116" s="19">
        <v>39.5</v>
      </c>
      <c r="N116" s="5" t="s">
        <v>1</v>
      </c>
      <c r="O116" s="16" t="s">
        <v>155</v>
      </c>
      <c r="P116" s="11" t="s">
        <v>156</v>
      </c>
    </row>
    <row r="117" spans="1:16" ht="13.5" customHeight="1" x14ac:dyDescent="0.2">
      <c r="A117" s="3" t="s">
        <v>179</v>
      </c>
      <c r="B117" s="3" t="s">
        <v>172</v>
      </c>
      <c r="C117" s="12">
        <v>566898</v>
      </c>
      <c r="D117" s="13">
        <v>135088</v>
      </c>
      <c r="E117" s="2" t="s">
        <v>158</v>
      </c>
      <c r="F117" s="19">
        <v>205.7</v>
      </c>
      <c r="G117" s="21">
        <v>137.30000000000001</v>
      </c>
      <c r="H117" s="20">
        <v>126.7</v>
      </c>
      <c r="I117" s="21">
        <v>132</v>
      </c>
      <c r="J117" s="2" t="s">
        <v>158</v>
      </c>
      <c r="K117" s="19">
        <v>70.400000000000006</v>
      </c>
      <c r="L117" s="19">
        <v>59.7</v>
      </c>
      <c r="M117" s="19">
        <v>39.799999999999997</v>
      </c>
      <c r="N117" s="5" t="s">
        <v>1</v>
      </c>
      <c r="O117" s="16" t="s">
        <v>155</v>
      </c>
      <c r="P117" s="11" t="s">
        <v>156</v>
      </c>
    </row>
    <row r="118" spans="1:16" ht="13.5" customHeight="1" x14ac:dyDescent="0.2">
      <c r="A118" s="3" t="s">
        <v>178</v>
      </c>
      <c r="B118" s="5" t="s">
        <v>0</v>
      </c>
      <c r="C118" s="12">
        <v>567783</v>
      </c>
      <c r="D118" s="12">
        <v>134842</v>
      </c>
      <c r="E118" s="2" t="s">
        <v>158</v>
      </c>
      <c r="F118" s="19">
        <v>213.4</v>
      </c>
      <c r="G118" s="21">
        <v>135.69999999999999</v>
      </c>
      <c r="H118" s="22">
        <v>125</v>
      </c>
      <c r="I118" s="21">
        <v>130.30000000000001</v>
      </c>
      <c r="J118" s="2" t="s">
        <v>158</v>
      </c>
      <c r="K118" s="19">
        <v>78.7</v>
      </c>
      <c r="L118" s="19">
        <v>67.2</v>
      </c>
      <c r="M118" s="19">
        <v>42.2</v>
      </c>
      <c r="N118" s="5" t="s">
        <v>1</v>
      </c>
      <c r="O118" s="16" t="s">
        <v>155</v>
      </c>
      <c r="P118" s="11" t="s">
        <v>156</v>
      </c>
    </row>
    <row r="119" spans="1:16" ht="13.5" customHeight="1" x14ac:dyDescent="0.2">
      <c r="A119" s="3" t="s">
        <v>177</v>
      </c>
      <c r="B119" s="5" t="s">
        <v>0</v>
      </c>
      <c r="C119" s="12">
        <v>566895</v>
      </c>
      <c r="D119" s="12">
        <v>135162</v>
      </c>
      <c r="E119" s="2" t="s">
        <v>158</v>
      </c>
      <c r="F119" s="19">
        <v>205.6</v>
      </c>
      <c r="G119" s="21">
        <v>136.30000000000001</v>
      </c>
      <c r="H119" s="20">
        <v>125.7</v>
      </c>
      <c r="I119" s="21">
        <v>131</v>
      </c>
      <c r="J119" s="2" t="s">
        <v>158</v>
      </c>
      <c r="K119" s="19">
        <v>70.599999999999994</v>
      </c>
      <c r="L119" s="19">
        <v>59.8</v>
      </c>
      <c r="M119" s="19">
        <v>40.4</v>
      </c>
      <c r="N119" s="5" t="s">
        <v>1</v>
      </c>
      <c r="O119" s="16" t="s">
        <v>155</v>
      </c>
      <c r="P119" s="11" t="s">
        <v>156</v>
      </c>
    </row>
    <row r="120" spans="1:16" ht="13.5" customHeight="1" x14ac:dyDescent="0.2">
      <c r="A120" s="3" t="s">
        <v>176</v>
      </c>
      <c r="B120" s="3" t="s">
        <v>172</v>
      </c>
      <c r="C120" s="12">
        <v>567823</v>
      </c>
      <c r="D120" s="13">
        <v>134926</v>
      </c>
      <c r="E120" s="2" t="s">
        <v>158</v>
      </c>
      <c r="F120" s="19">
        <v>212.1</v>
      </c>
      <c r="G120" s="21">
        <v>132.30000000000001</v>
      </c>
      <c r="H120" s="20">
        <v>121.5</v>
      </c>
      <c r="I120" s="21">
        <v>126.9</v>
      </c>
      <c r="J120" s="2" t="s">
        <v>158</v>
      </c>
      <c r="K120" s="19">
        <v>80.7</v>
      </c>
      <c r="L120" s="19">
        <v>68.7</v>
      </c>
      <c r="M120" s="19">
        <v>43</v>
      </c>
      <c r="N120" s="5" t="s">
        <v>1</v>
      </c>
      <c r="O120" s="16" t="s">
        <v>155</v>
      </c>
      <c r="P120" s="11" t="s">
        <v>156</v>
      </c>
    </row>
    <row r="121" spans="1:16" ht="13.5" customHeight="1" x14ac:dyDescent="0.2">
      <c r="A121" s="3" t="s">
        <v>175</v>
      </c>
      <c r="B121" s="5" t="s">
        <v>0</v>
      </c>
      <c r="C121" s="12">
        <v>567568</v>
      </c>
      <c r="D121" s="12">
        <v>134894</v>
      </c>
      <c r="E121" s="2" t="s">
        <v>158</v>
      </c>
      <c r="F121" s="19">
        <v>213.4</v>
      </c>
      <c r="G121" s="21">
        <v>134.30000000000001</v>
      </c>
      <c r="H121" s="22">
        <v>123.7</v>
      </c>
      <c r="I121" s="21">
        <v>129</v>
      </c>
      <c r="J121" s="2" t="s">
        <v>158</v>
      </c>
      <c r="K121" s="19">
        <v>77.3</v>
      </c>
      <c r="L121" s="19">
        <v>64.8</v>
      </c>
      <c r="M121" s="19">
        <v>42.4</v>
      </c>
      <c r="N121" s="5" t="s">
        <v>1</v>
      </c>
      <c r="O121" s="16" t="s">
        <v>155</v>
      </c>
      <c r="P121" s="11" t="s">
        <v>156</v>
      </c>
    </row>
    <row r="122" spans="1:16" ht="13.5" customHeight="1" x14ac:dyDescent="0.2">
      <c r="A122" s="3" t="s">
        <v>174</v>
      </c>
      <c r="B122" s="5" t="s">
        <v>0</v>
      </c>
      <c r="C122" s="12">
        <v>567133</v>
      </c>
      <c r="D122" s="12">
        <v>134694</v>
      </c>
      <c r="E122" s="2" t="s">
        <v>158</v>
      </c>
      <c r="F122" s="19">
        <v>209.6</v>
      </c>
      <c r="G122" s="19">
        <v>93.8</v>
      </c>
      <c r="H122" s="20">
        <v>84.3</v>
      </c>
      <c r="I122" s="19">
        <v>89</v>
      </c>
      <c r="J122" s="2" t="s">
        <v>158</v>
      </c>
      <c r="K122" s="19">
        <v>70.400000000000006</v>
      </c>
      <c r="L122" s="19">
        <v>58.2</v>
      </c>
      <c r="M122" s="19">
        <v>38.5</v>
      </c>
      <c r="N122" s="5" t="s">
        <v>1</v>
      </c>
      <c r="O122" s="16" t="s">
        <v>155</v>
      </c>
      <c r="P122" s="11" t="s">
        <v>156</v>
      </c>
    </row>
    <row r="123" spans="1:16" ht="13.5" customHeight="1" x14ac:dyDescent="0.2">
      <c r="A123" s="3" t="s">
        <v>173</v>
      </c>
      <c r="B123" s="3" t="s">
        <v>172</v>
      </c>
      <c r="C123" s="12">
        <v>568220</v>
      </c>
      <c r="D123" s="13">
        <v>135054</v>
      </c>
      <c r="E123" s="2" t="s">
        <v>158</v>
      </c>
      <c r="F123" s="19">
        <v>214.8</v>
      </c>
      <c r="G123" s="21">
        <v>130.1</v>
      </c>
      <c r="H123" s="20">
        <v>121</v>
      </c>
      <c r="I123" s="21">
        <v>125.5</v>
      </c>
      <c r="J123" s="2" t="s">
        <v>158</v>
      </c>
      <c r="K123" s="19">
        <v>81.2</v>
      </c>
      <c r="L123" s="19">
        <v>75.900000000000006</v>
      </c>
      <c r="M123" s="19">
        <v>40.799999999999997</v>
      </c>
      <c r="N123" s="5" t="s">
        <v>1</v>
      </c>
      <c r="O123" s="16" t="s">
        <v>155</v>
      </c>
      <c r="P123" s="11" t="s">
        <v>156</v>
      </c>
    </row>
    <row r="124" spans="1:16" ht="13.5" customHeight="1" x14ac:dyDescent="0.2">
      <c r="A124" s="5" t="s">
        <v>2</v>
      </c>
      <c r="B124" s="5" t="s">
        <v>0</v>
      </c>
      <c r="C124" s="12">
        <v>568124</v>
      </c>
      <c r="D124" s="12">
        <v>134574</v>
      </c>
      <c r="E124" s="2" t="s">
        <v>158</v>
      </c>
      <c r="F124" s="19">
        <v>214.1</v>
      </c>
      <c r="G124" s="21">
        <v>134.80000000000001</v>
      </c>
      <c r="H124" s="22">
        <v>124.2</v>
      </c>
      <c r="I124" s="21">
        <v>129.5</v>
      </c>
      <c r="J124" s="2" t="s">
        <v>158</v>
      </c>
      <c r="K124" s="19">
        <v>78.099999999999994</v>
      </c>
      <c r="L124" s="19">
        <v>70.2</v>
      </c>
      <c r="M124" s="19">
        <v>37.5</v>
      </c>
      <c r="N124" s="5" t="s">
        <v>1</v>
      </c>
      <c r="O124" s="16" t="s">
        <v>155</v>
      </c>
      <c r="P124" s="11" t="s">
        <v>156</v>
      </c>
    </row>
    <row r="125" spans="1:16" ht="13.5" customHeight="1" x14ac:dyDescent="0.2">
      <c r="A125" s="5" t="s">
        <v>3</v>
      </c>
      <c r="B125" s="5" t="s">
        <v>0</v>
      </c>
      <c r="C125" s="12">
        <v>568571</v>
      </c>
      <c r="D125" s="13">
        <v>133980</v>
      </c>
      <c r="E125" s="2" t="s">
        <v>158</v>
      </c>
      <c r="F125" s="19">
        <v>212.8</v>
      </c>
      <c r="G125" s="21">
        <v>119.9</v>
      </c>
      <c r="H125" s="20">
        <v>113.8</v>
      </c>
      <c r="I125" s="21">
        <v>116.8</v>
      </c>
      <c r="J125" s="2" t="s">
        <v>158</v>
      </c>
      <c r="K125" s="19">
        <v>84.6</v>
      </c>
      <c r="L125" s="19">
        <v>75.2</v>
      </c>
      <c r="M125" s="19">
        <v>30.5</v>
      </c>
      <c r="N125" s="5" t="s">
        <v>1</v>
      </c>
      <c r="O125" s="16" t="s">
        <v>155</v>
      </c>
      <c r="P125" s="11" t="s">
        <v>156</v>
      </c>
    </row>
    <row r="126" spans="1:16" ht="13.5" customHeight="1" x14ac:dyDescent="0.2">
      <c r="A126" s="5" t="s">
        <v>4</v>
      </c>
      <c r="B126" s="3" t="s">
        <v>172</v>
      </c>
      <c r="C126" s="12">
        <v>567013</v>
      </c>
      <c r="D126" s="13">
        <v>134215</v>
      </c>
      <c r="E126" s="2" t="s">
        <v>158</v>
      </c>
      <c r="F126" s="19">
        <v>205.3</v>
      </c>
      <c r="G126" s="21">
        <v>143.4</v>
      </c>
      <c r="H126" s="20">
        <v>130.9</v>
      </c>
      <c r="I126" s="21">
        <v>137.19999999999999</v>
      </c>
      <c r="J126" s="2" t="s">
        <v>158</v>
      </c>
      <c r="K126" s="19">
        <v>66.3</v>
      </c>
      <c r="L126" s="19">
        <v>43.2</v>
      </c>
      <c r="M126" s="19">
        <v>31.5</v>
      </c>
      <c r="N126" s="5" t="s">
        <v>1</v>
      </c>
      <c r="O126" s="16" t="s">
        <v>155</v>
      </c>
      <c r="P126" s="11" t="s">
        <v>156</v>
      </c>
    </row>
    <row r="127" spans="1:16" ht="13.5" customHeight="1" x14ac:dyDescent="0.2">
      <c r="A127" s="3" t="s">
        <v>181</v>
      </c>
      <c r="B127" s="3" t="s">
        <v>172</v>
      </c>
      <c r="C127" s="12">
        <v>566905</v>
      </c>
      <c r="D127" s="12">
        <v>134193</v>
      </c>
      <c r="E127" s="2" t="s">
        <v>158</v>
      </c>
      <c r="F127" s="19">
        <v>204</v>
      </c>
      <c r="G127" s="21">
        <v>132.69999999999999</v>
      </c>
      <c r="H127" s="22">
        <v>123.6</v>
      </c>
      <c r="I127" s="21">
        <v>128.19999999999999</v>
      </c>
      <c r="J127" s="2" t="s">
        <v>158</v>
      </c>
      <c r="K127" s="19">
        <v>65.400000000000006</v>
      </c>
      <c r="L127" s="19">
        <v>40.9</v>
      </c>
      <c r="M127" s="19">
        <v>30.2</v>
      </c>
      <c r="N127" s="5" t="s">
        <v>1</v>
      </c>
      <c r="O127" s="16" t="s">
        <v>155</v>
      </c>
      <c r="P127" s="11" t="s">
        <v>156</v>
      </c>
    </row>
    <row r="128" spans="1:16" ht="13.5" customHeight="1" x14ac:dyDescent="0.2">
      <c r="A128" s="7" t="s">
        <v>182</v>
      </c>
      <c r="B128" s="3" t="s">
        <v>172</v>
      </c>
      <c r="C128" s="12">
        <v>567726</v>
      </c>
      <c r="D128" s="12">
        <v>134048</v>
      </c>
      <c r="E128" s="2" t="s">
        <v>158</v>
      </c>
      <c r="F128" s="19">
        <v>207.6</v>
      </c>
      <c r="G128" s="23">
        <v>131.4</v>
      </c>
      <c r="H128" s="24">
        <v>120.7</v>
      </c>
      <c r="I128" s="25">
        <v>126</v>
      </c>
      <c r="J128" s="2" t="s">
        <v>158</v>
      </c>
      <c r="K128" s="19">
        <v>70.2</v>
      </c>
      <c r="L128" s="19">
        <v>59.1</v>
      </c>
      <c r="M128" s="33">
        <v>32.4</v>
      </c>
      <c r="N128" s="5" t="s">
        <v>1</v>
      </c>
      <c r="O128" s="16" t="s">
        <v>155</v>
      </c>
      <c r="P128" s="11" t="s">
        <v>156</v>
      </c>
    </row>
    <row r="129" spans="1:16" ht="13.5" customHeight="1" x14ac:dyDescent="0.2">
      <c r="A129" s="3" t="s">
        <v>183</v>
      </c>
      <c r="B129" s="5" t="s">
        <v>0</v>
      </c>
      <c r="C129" s="12">
        <v>566939</v>
      </c>
      <c r="D129" s="12">
        <v>134292</v>
      </c>
      <c r="E129" s="2" t="s">
        <v>158</v>
      </c>
      <c r="F129" s="19">
        <v>203.6</v>
      </c>
      <c r="G129" s="19">
        <v>133.30000000000001</v>
      </c>
      <c r="H129" s="20">
        <v>122.6</v>
      </c>
      <c r="I129" s="19">
        <v>127.9</v>
      </c>
      <c r="J129" s="2" t="s">
        <v>158</v>
      </c>
      <c r="K129" s="19">
        <v>66.400000000000006</v>
      </c>
      <c r="L129" s="19">
        <v>44</v>
      </c>
      <c r="M129" s="19">
        <v>31.9</v>
      </c>
      <c r="N129" s="5" t="s">
        <v>1</v>
      </c>
      <c r="O129" s="16" t="s">
        <v>155</v>
      </c>
      <c r="P129" s="11" t="s">
        <v>156</v>
      </c>
    </row>
    <row r="130" spans="1:16" ht="13.5" customHeight="1" x14ac:dyDescent="0.2">
      <c r="A130" s="7" t="s">
        <v>184</v>
      </c>
      <c r="B130" s="5" t="s">
        <v>0</v>
      </c>
      <c r="C130" s="12">
        <v>566901</v>
      </c>
      <c r="D130" s="13">
        <v>134140</v>
      </c>
      <c r="E130" s="2" t="s">
        <v>158</v>
      </c>
      <c r="F130" s="19">
        <v>204.2</v>
      </c>
      <c r="G130" s="21">
        <v>132.5</v>
      </c>
      <c r="H130" s="20">
        <v>121.9</v>
      </c>
      <c r="I130" s="21">
        <v>127.2</v>
      </c>
      <c r="J130" s="2" t="s">
        <v>158</v>
      </c>
      <c r="K130" s="19">
        <v>65.3</v>
      </c>
      <c r="L130" s="19">
        <v>39.9</v>
      </c>
      <c r="M130" s="19">
        <v>29.5</v>
      </c>
      <c r="N130" s="5" t="s">
        <v>1</v>
      </c>
      <c r="O130" s="16" t="s">
        <v>155</v>
      </c>
      <c r="P130" s="11" t="s">
        <v>156</v>
      </c>
    </row>
    <row r="131" spans="1:16" ht="13.5" customHeight="1" x14ac:dyDescent="0.2">
      <c r="A131" s="5" t="s">
        <v>5</v>
      </c>
      <c r="B131" s="5" t="s">
        <v>0</v>
      </c>
      <c r="C131" s="12">
        <v>567593</v>
      </c>
      <c r="D131" s="12">
        <v>133879</v>
      </c>
      <c r="E131" s="2" t="s">
        <v>158</v>
      </c>
      <c r="F131" s="19">
        <v>207.1</v>
      </c>
      <c r="G131" s="21">
        <v>144.6</v>
      </c>
      <c r="H131" s="22">
        <v>116</v>
      </c>
      <c r="I131" s="21">
        <v>130.30000000000001</v>
      </c>
      <c r="J131" s="2" t="s">
        <v>158</v>
      </c>
      <c r="K131" s="19">
        <v>71.400000000000006</v>
      </c>
      <c r="L131" s="19">
        <v>55.6</v>
      </c>
      <c r="M131" s="19">
        <v>30.3</v>
      </c>
      <c r="N131" s="5" t="s">
        <v>1</v>
      </c>
      <c r="O131" s="16" t="s">
        <v>155</v>
      </c>
      <c r="P131" s="11" t="s">
        <v>156</v>
      </c>
    </row>
    <row r="132" spans="1:16" ht="13.5" customHeight="1" x14ac:dyDescent="0.2">
      <c r="A132" s="3" t="s">
        <v>185</v>
      </c>
      <c r="B132" s="5" t="s">
        <v>0</v>
      </c>
      <c r="C132" s="12">
        <v>567648</v>
      </c>
      <c r="D132" s="12">
        <v>134411</v>
      </c>
      <c r="E132" s="2" t="s">
        <v>158</v>
      </c>
      <c r="F132" s="19">
        <v>211.5</v>
      </c>
      <c r="G132" s="19">
        <v>40.200000000000003</v>
      </c>
      <c r="H132" s="20">
        <v>38.700000000000003</v>
      </c>
      <c r="I132" s="19">
        <v>39.4</v>
      </c>
      <c r="J132" s="2" t="s">
        <v>158</v>
      </c>
      <c r="K132" s="19">
        <v>70.400000000000006</v>
      </c>
      <c r="L132" s="19">
        <v>60.4</v>
      </c>
      <c r="M132" s="19">
        <v>37.799999999999997</v>
      </c>
      <c r="N132" s="5" t="s">
        <v>6</v>
      </c>
      <c r="O132" s="16" t="s">
        <v>155</v>
      </c>
      <c r="P132" s="11" t="s">
        <v>156</v>
      </c>
    </row>
    <row r="133" spans="1:16" ht="13.5" customHeight="1" x14ac:dyDescent="0.2">
      <c r="A133" s="3" t="s">
        <v>186</v>
      </c>
      <c r="B133" s="5" t="s">
        <v>7</v>
      </c>
      <c r="C133" s="12">
        <v>567648</v>
      </c>
      <c r="D133" s="13">
        <v>134411</v>
      </c>
      <c r="E133" s="2" t="s">
        <v>158</v>
      </c>
      <c r="F133" s="19">
        <v>211.5</v>
      </c>
      <c r="G133" s="19">
        <v>79.8</v>
      </c>
      <c r="H133" s="20">
        <v>78.3</v>
      </c>
      <c r="I133" s="19">
        <v>79.099999999999994</v>
      </c>
      <c r="J133" s="2" t="s">
        <v>158</v>
      </c>
      <c r="K133" s="19">
        <v>70.400000000000006</v>
      </c>
      <c r="L133" s="19">
        <v>60.4</v>
      </c>
      <c r="M133" s="19">
        <v>37.799999999999997</v>
      </c>
      <c r="N133" s="5" t="s">
        <v>1</v>
      </c>
      <c r="O133" s="16" t="s">
        <v>155</v>
      </c>
      <c r="P133" s="11" t="s">
        <v>156</v>
      </c>
    </row>
    <row r="134" spans="1:16" ht="13.5" customHeight="1" x14ac:dyDescent="0.2">
      <c r="A134" s="3" t="s">
        <v>187</v>
      </c>
      <c r="B134" s="3" t="s">
        <v>172</v>
      </c>
      <c r="C134" s="12">
        <v>567648</v>
      </c>
      <c r="D134" s="12">
        <v>134411</v>
      </c>
      <c r="E134" s="2" t="s">
        <v>158</v>
      </c>
      <c r="F134" s="19">
        <v>211.5</v>
      </c>
      <c r="G134" s="19">
        <v>98.1</v>
      </c>
      <c r="H134" s="20">
        <v>96.6</v>
      </c>
      <c r="I134" s="19">
        <v>97.3</v>
      </c>
      <c r="J134" s="2" t="s">
        <v>158</v>
      </c>
      <c r="K134" s="19">
        <v>70.400000000000006</v>
      </c>
      <c r="L134" s="19">
        <v>60.4</v>
      </c>
      <c r="M134" s="19">
        <v>37.799999999999997</v>
      </c>
      <c r="N134" s="5" t="s">
        <v>1</v>
      </c>
      <c r="O134" s="16" t="s">
        <v>155</v>
      </c>
      <c r="P134" s="11" t="s">
        <v>156</v>
      </c>
    </row>
    <row r="135" spans="1:16" ht="13.5" customHeight="1" x14ac:dyDescent="0.2">
      <c r="A135" s="3" t="s">
        <v>188</v>
      </c>
      <c r="B135" s="5" t="s">
        <v>0</v>
      </c>
      <c r="C135" s="12">
        <v>567648</v>
      </c>
      <c r="D135" s="12">
        <v>134411</v>
      </c>
      <c r="E135" s="2" t="s">
        <v>158</v>
      </c>
      <c r="F135" s="19">
        <v>211.5</v>
      </c>
      <c r="G135" s="21">
        <v>116.4</v>
      </c>
      <c r="H135" s="22">
        <v>114.9</v>
      </c>
      <c r="I135" s="21">
        <v>115.6</v>
      </c>
      <c r="J135" s="2" t="s">
        <v>158</v>
      </c>
      <c r="K135" s="19">
        <v>70.400000000000006</v>
      </c>
      <c r="L135" s="19">
        <v>60.4</v>
      </c>
      <c r="M135" s="19">
        <v>37.799999999999997</v>
      </c>
      <c r="N135" s="5" t="s">
        <v>1</v>
      </c>
      <c r="O135" s="16" t="s">
        <v>155</v>
      </c>
      <c r="P135" s="11" t="s">
        <v>156</v>
      </c>
    </row>
    <row r="136" spans="1:16" ht="13.5" customHeight="1" x14ac:dyDescent="0.2">
      <c r="A136" s="5" t="s">
        <v>8</v>
      </c>
      <c r="B136" s="5" t="s">
        <v>0</v>
      </c>
      <c r="C136" s="12">
        <v>566956</v>
      </c>
      <c r="D136" s="13">
        <v>134484</v>
      </c>
      <c r="E136" s="2" t="s">
        <v>158</v>
      </c>
      <c r="F136" s="19">
        <v>206.7</v>
      </c>
      <c r="G136" s="21">
        <v>144.19999999999999</v>
      </c>
      <c r="H136" s="20">
        <v>133</v>
      </c>
      <c r="I136" s="21">
        <v>138.6</v>
      </c>
      <c r="J136" s="2" t="s">
        <v>158</v>
      </c>
      <c r="K136" s="19">
        <v>68.2</v>
      </c>
      <c r="L136" s="19">
        <v>50.4</v>
      </c>
      <c r="M136" s="19">
        <v>34.6</v>
      </c>
      <c r="N136" s="5" t="s">
        <v>1</v>
      </c>
      <c r="O136" s="16" t="s">
        <v>155</v>
      </c>
      <c r="P136" s="11" t="s">
        <v>156</v>
      </c>
    </row>
    <row r="137" spans="1:16" ht="13.5" customHeight="1" x14ac:dyDescent="0.2">
      <c r="A137" s="5" t="s">
        <v>9</v>
      </c>
      <c r="B137" s="5" t="s">
        <v>0</v>
      </c>
      <c r="C137" s="12">
        <v>566945</v>
      </c>
      <c r="D137" s="12">
        <v>134293</v>
      </c>
      <c r="E137" s="2" t="s">
        <v>158</v>
      </c>
      <c r="F137" s="19">
        <v>203.1</v>
      </c>
      <c r="G137" s="21">
        <v>142.80000000000001</v>
      </c>
      <c r="H137" s="22">
        <v>131.9</v>
      </c>
      <c r="I137" s="21">
        <v>137.30000000000001</v>
      </c>
      <c r="J137" s="2" t="s">
        <v>158</v>
      </c>
      <c r="K137" s="19">
        <v>66.400000000000006</v>
      </c>
      <c r="L137" s="19">
        <v>44.1</v>
      </c>
      <c r="M137" s="19">
        <v>32</v>
      </c>
      <c r="N137" s="5" t="s">
        <v>1</v>
      </c>
      <c r="O137" s="16" t="s">
        <v>155</v>
      </c>
      <c r="P137" s="11" t="s">
        <v>156</v>
      </c>
    </row>
    <row r="138" spans="1:16" ht="13.5" customHeight="1" x14ac:dyDescent="0.2">
      <c r="A138" s="5" t="s">
        <v>10</v>
      </c>
      <c r="B138" s="5" t="s">
        <v>0</v>
      </c>
      <c r="C138" s="12">
        <v>566909</v>
      </c>
      <c r="D138" s="12">
        <v>134076</v>
      </c>
      <c r="E138" s="2" t="s">
        <v>158</v>
      </c>
      <c r="F138" s="19">
        <v>205.5</v>
      </c>
      <c r="G138" s="21">
        <v>135.80000000000001</v>
      </c>
      <c r="H138" s="20">
        <v>125.2</v>
      </c>
      <c r="I138" s="21">
        <v>130.5</v>
      </c>
      <c r="J138" s="2" t="s">
        <v>158</v>
      </c>
      <c r="K138" s="19">
        <v>66.3</v>
      </c>
      <c r="L138" s="19">
        <v>39.6</v>
      </c>
      <c r="M138" s="19">
        <v>28.7</v>
      </c>
      <c r="N138" s="5" t="s">
        <v>1</v>
      </c>
      <c r="O138" s="16" t="s">
        <v>155</v>
      </c>
      <c r="P138" s="11" t="s">
        <v>156</v>
      </c>
    </row>
    <row r="139" spans="1:16" ht="13.5" customHeight="1" x14ac:dyDescent="0.2">
      <c r="A139" s="5" t="s">
        <v>11</v>
      </c>
      <c r="B139" s="5" t="s">
        <v>0</v>
      </c>
      <c r="C139" s="12">
        <v>566904</v>
      </c>
      <c r="D139" s="13">
        <v>134202</v>
      </c>
      <c r="E139" s="2" t="s">
        <v>158</v>
      </c>
      <c r="F139" s="19">
        <v>203.9</v>
      </c>
      <c r="G139" s="21">
        <v>137.5</v>
      </c>
      <c r="H139" s="20">
        <v>132.9</v>
      </c>
      <c r="I139" s="21">
        <v>135.19999999999999</v>
      </c>
      <c r="J139" s="2" t="s">
        <v>158</v>
      </c>
      <c r="K139" s="19">
        <v>65.400000000000006</v>
      </c>
      <c r="L139" s="19">
        <v>41.2</v>
      </c>
      <c r="M139" s="19">
        <v>30.4</v>
      </c>
      <c r="N139" s="5" t="s">
        <v>1</v>
      </c>
      <c r="O139" s="16" t="s">
        <v>155</v>
      </c>
      <c r="P139" s="11" t="s">
        <v>156</v>
      </c>
    </row>
    <row r="140" spans="1:16" ht="13.5" customHeight="1" x14ac:dyDescent="0.2">
      <c r="A140" s="5" t="s">
        <v>12</v>
      </c>
      <c r="B140" s="5" t="s">
        <v>0</v>
      </c>
      <c r="C140" s="12">
        <v>566904</v>
      </c>
      <c r="D140" s="12">
        <v>134140</v>
      </c>
      <c r="E140" s="2" t="s">
        <v>158</v>
      </c>
      <c r="F140" s="19">
        <v>204.1</v>
      </c>
      <c r="G140" s="21">
        <v>137.69999999999999</v>
      </c>
      <c r="H140" s="22">
        <v>133.1</v>
      </c>
      <c r="I140" s="21">
        <v>135.4</v>
      </c>
      <c r="J140" s="2" t="s">
        <v>158</v>
      </c>
      <c r="K140" s="19">
        <v>65.3</v>
      </c>
      <c r="L140" s="19">
        <v>39.9</v>
      </c>
      <c r="M140" s="19">
        <v>29.5</v>
      </c>
      <c r="N140" s="5" t="s">
        <v>1</v>
      </c>
      <c r="O140" s="16" t="s">
        <v>155</v>
      </c>
      <c r="P140" s="11" t="s">
        <v>156</v>
      </c>
    </row>
    <row r="141" spans="1:16" ht="13.5" customHeight="1" x14ac:dyDescent="0.2">
      <c r="A141" s="3" t="s">
        <v>136</v>
      </c>
      <c r="B141" s="3" t="s">
        <v>151</v>
      </c>
      <c r="C141" s="12">
        <v>567180</v>
      </c>
      <c r="D141" s="12">
        <v>134348</v>
      </c>
      <c r="E141" s="2" t="s">
        <v>158</v>
      </c>
      <c r="F141" s="19">
        <v>207.3</v>
      </c>
      <c r="G141" s="23">
        <v>134.69999999999999</v>
      </c>
      <c r="H141" s="24">
        <v>124</v>
      </c>
      <c r="I141" s="25">
        <v>129.4</v>
      </c>
      <c r="J141" s="2" t="s">
        <v>158</v>
      </c>
      <c r="K141" s="19">
        <v>68.900000000000006</v>
      </c>
      <c r="L141" s="19">
        <v>50</v>
      </c>
      <c r="M141" s="33">
        <v>34.6</v>
      </c>
      <c r="N141" s="5" t="s">
        <v>1</v>
      </c>
      <c r="O141" s="16" t="s">
        <v>155</v>
      </c>
      <c r="P141" s="11" t="s">
        <v>156</v>
      </c>
    </row>
    <row r="142" spans="1:16" ht="13.5" customHeight="1" x14ac:dyDescent="0.2">
      <c r="A142" s="5" t="s">
        <v>13</v>
      </c>
      <c r="B142" s="5" t="s">
        <v>0</v>
      </c>
      <c r="C142" s="12">
        <v>567237</v>
      </c>
      <c r="D142" s="12">
        <v>134207</v>
      </c>
      <c r="E142" s="2" t="s">
        <v>158</v>
      </c>
      <c r="F142" s="19">
        <v>207.3</v>
      </c>
      <c r="G142" s="19">
        <v>135.1</v>
      </c>
      <c r="H142" s="20">
        <v>124.4</v>
      </c>
      <c r="I142" s="19">
        <v>129.80000000000001</v>
      </c>
      <c r="J142" s="2" t="s">
        <v>158</v>
      </c>
      <c r="K142" s="19">
        <v>68.5</v>
      </c>
      <c r="L142" s="19">
        <v>48.7</v>
      </c>
      <c r="M142" s="19">
        <v>33</v>
      </c>
      <c r="N142" s="5" t="s">
        <v>1</v>
      </c>
      <c r="O142" s="16" t="s">
        <v>155</v>
      </c>
      <c r="P142" s="11" t="s">
        <v>156</v>
      </c>
    </row>
    <row r="143" spans="1:16" ht="13.5" customHeight="1" x14ac:dyDescent="0.2">
      <c r="A143" s="5" t="s">
        <v>14</v>
      </c>
      <c r="B143" s="3" t="s">
        <v>172</v>
      </c>
      <c r="C143" s="12">
        <v>567630</v>
      </c>
      <c r="D143" s="13">
        <v>134465</v>
      </c>
      <c r="E143" s="2" t="s">
        <v>158</v>
      </c>
      <c r="F143" s="19">
        <v>210.9</v>
      </c>
      <c r="G143" s="21">
        <v>137</v>
      </c>
      <c r="H143" s="20">
        <v>126.4</v>
      </c>
      <c r="I143" s="21">
        <v>131.69999999999999</v>
      </c>
      <c r="J143" s="2" t="s">
        <v>158</v>
      </c>
      <c r="K143" s="19">
        <v>70.900000000000006</v>
      </c>
      <c r="L143" s="19">
        <v>60.7</v>
      </c>
      <c r="M143" s="19">
        <v>38.5</v>
      </c>
      <c r="N143" s="5" t="s">
        <v>1</v>
      </c>
      <c r="O143" s="16" t="s">
        <v>155</v>
      </c>
      <c r="P143" s="11" t="s">
        <v>156</v>
      </c>
    </row>
    <row r="144" spans="1:16" ht="13.5" customHeight="1" x14ac:dyDescent="0.2">
      <c r="A144" s="5" t="s">
        <v>15</v>
      </c>
      <c r="B144" s="5" t="s">
        <v>0</v>
      </c>
      <c r="C144" s="12">
        <v>566843</v>
      </c>
      <c r="D144" s="12">
        <v>134126</v>
      </c>
      <c r="E144" s="2" t="s">
        <v>158</v>
      </c>
      <c r="F144" s="19">
        <v>200</v>
      </c>
      <c r="G144" s="21">
        <v>137.5</v>
      </c>
      <c r="H144" s="22">
        <v>126.8</v>
      </c>
      <c r="I144" s="21">
        <v>132.1</v>
      </c>
      <c r="J144" s="2" t="s">
        <v>158</v>
      </c>
      <c r="K144" s="19">
        <v>65.7</v>
      </c>
      <c r="L144" s="19">
        <v>39.6</v>
      </c>
      <c r="M144" s="19">
        <v>28.8</v>
      </c>
      <c r="N144" s="5" t="s">
        <v>1</v>
      </c>
      <c r="O144" s="16" t="s">
        <v>155</v>
      </c>
      <c r="P144" s="11" t="s">
        <v>156</v>
      </c>
    </row>
    <row r="145" spans="1:16" ht="13.5" customHeight="1" x14ac:dyDescent="0.2">
      <c r="A145" s="5" t="s">
        <v>16</v>
      </c>
      <c r="B145" s="5" t="s">
        <v>0</v>
      </c>
      <c r="C145" s="12">
        <v>567000</v>
      </c>
      <c r="D145" s="12">
        <v>134354</v>
      </c>
      <c r="E145" s="2" t="s">
        <v>158</v>
      </c>
      <c r="F145" s="19">
        <v>205.9</v>
      </c>
      <c r="G145" s="21">
        <v>136.80000000000001</v>
      </c>
      <c r="H145" s="20">
        <v>126.1</v>
      </c>
      <c r="I145" s="21">
        <v>131.5</v>
      </c>
      <c r="J145" s="2" t="s">
        <v>158</v>
      </c>
      <c r="K145" s="19">
        <v>67.5</v>
      </c>
      <c r="L145" s="19">
        <v>46.9</v>
      </c>
      <c r="M145" s="19">
        <v>33.299999999999997</v>
      </c>
      <c r="N145" s="5" t="s">
        <v>1</v>
      </c>
      <c r="O145" s="16" t="s">
        <v>155</v>
      </c>
      <c r="P145" s="11" t="s">
        <v>156</v>
      </c>
    </row>
    <row r="146" spans="1:16" ht="13.5" customHeight="1" x14ac:dyDescent="0.2">
      <c r="A146" s="5" t="s">
        <v>17</v>
      </c>
      <c r="B146" s="3" t="s">
        <v>172</v>
      </c>
      <c r="C146" s="12">
        <v>567005</v>
      </c>
      <c r="D146" s="13">
        <v>134167</v>
      </c>
      <c r="E146" s="2" t="s">
        <v>158</v>
      </c>
      <c r="F146" s="19">
        <v>206.1</v>
      </c>
      <c r="G146" s="21">
        <v>137.19999999999999</v>
      </c>
      <c r="H146" s="20">
        <v>126.5</v>
      </c>
      <c r="I146" s="21">
        <v>131.9</v>
      </c>
      <c r="J146" s="2" t="s">
        <v>158</v>
      </c>
      <c r="K146" s="19">
        <v>65.900000000000006</v>
      </c>
      <c r="L146" s="19">
        <v>41.8</v>
      </c>
      <c r="M146" s="19">
        <v>30.7</v>
      </c>
      <c r="N146" s="5" t="s">
        <v>1</v>
      </c>
      <c r="O146" s="16" t="s">
        <v>155</v>
      </c>
      <c r="P146" s="11" t="s">
        <v>156</v>
      </c>
    </row>
    <row r="147" spans="1:16" ht="13.5" customHeight="1" x14ac:dyDescent="0.2">
      <c r="A147" s="5" t="s">
        <v>18</v>
      </c>
      <c r="B147" s="5" t="s">
        <v>0</v>
      </c>
      <c r="C147" s="12">
        <v>567009</v>
      </c>
      <c r="D147" s="12">
        <v>134093</v>
      </c>
      <c r="E147" s="2" t="s">
        <v>158</v>
      </c>
      <c r="F147" s="19">
        <v>206.3</v>
      </c>
      <c r="G147" s="21">
        <v>137.4</v>
      </c>
      <c r="H147" s="22">
        <v>126.7</v>
      </c>
      <c r="I147" s="21">
        <v>132</v>
      </c>
      <c r="J147" s="2" t="s">
        <v>158</v>
      </c>
      <c r="K147" s="19">
        <v>66.7</v>
      </c>
      <c r="L147" s="19">
        <v>41.3</v>
      </c>
      <c r="M147" s="19">
        <v>29.8</v>
      </c>
      <c r="N147" s="5" t="s">
        <v>1</v>
      </c>
      <c r="O147" s="16" t="s">
        <v>155</v>
      </c>
      <c r="P147" s="11" t="s">
        <v>156</v>
      </c>
    </row>
    <row r="148" spans="1:16" ht="13.5" customHeight="1" x14ac:dyDescent="0.2">
      <c r="A148" s="5" t="s">
        <v>19</v>
      </c>
      <c r="B148" s="5" t="s">
        <v>0</v>
      </c>
      <c r="C148" s="12">
        <v>566979</v>
      </c>
      <c r="D148" s="12">
        <v>134548</v>
      </c>
      <c r="E148" s="2" t="s">
        <v>158</v>
      </c>
      <c r="F148" s="19">
        <v>207.8</v>
      </c>
      <c r="G148" s="21">
        <v>137.1</v>
      </c>
      <c r="H148" s="20">
        <v>126.4</v>
      </c>
      <c r="I148" s="21">
        <v>131.69999999999999</v>
      </c>
      <c r="J148" s="2" t="s">
        <v>158</v>
      </c>
      <c r="K148" s="19">
        <v>68.8</v>
      </c>
      <c r="L148" s="19">
        <v>52.6</v>
      </c>
      <c r="M148" s="19">
        <v>35.6</v>
      </c>
      <c r="N148" s="5" t="s">
        <v>1</v>
      </c>
      <c r="O148" s="16" t="s">
        <v>155</v>
      </c>
      <c r="P148" s="11" t="s">
        <v>156</v>
      </c>
    </row>
    <row r="149" spans="1:16" ht="13.5" customHeight="1" x14ac:dyDescent="0.2">
      <c r="A149" s="5" t="s">
        <v>20</v>
      </c>
      <c r="B149" s="3" t="s">
        <v>172</v>
      </c>
      <c r="C149" s="12">
        <v>566903</v>
      </c>
      <c r="D149" s="13">
        <v>134261</v>
      </c>
      <c r="E149" s="2" t="s">
        <v>158</v>
      </c>
      <c r="F149" s="19">
        <v>203.7</v>
      </c>
      <c r="G149" s="21">
        <v>137.5</v>
      </c>
      <c r="H149" s="20">
        <v>126.9</v>
      </c>
      <c r="I149" s="21">
        <v>132.19999999999999</v>
      </c>
      <c r="J149" s="2" t="s">
        <v>158</v>
      </c>
      <c r="K149" s="19">
        <v>66</v>
      </c>
      <c r="L149" s="19">
        <v>42.7</v>
      </c>
      <c r="M149" s="19">
        <v>31.2</v>
      </c>
      <c r="N149" s="5" t="s">
        <v>1</v>
      </c>
      <c r="O149" s="16" t="s">
        <v>155</v>
      </c>
      <c r="P149" s="11" t="s">
        <v>156</v>
      </c>
    </row>
    <row r="150" spans="1:16" ht="13.5" customHeight="1" x14ac:dyDescent="0.2">
      <c r="A150" s="5" t="s">
        <v>21</v>
      </c>
      <c r="B150" s="5" t="s">
        <v>0</v>
      </c>
      <c r="C150" s="12">
        <v>567187</v>
      </c>
      <c r="D150" s="12">
        <v>134041</v>
      </c>
      <c r="E150" s="2" t="s">
        <v>158</v>
      </c>
      <c r="F150" s="19">
        <v>205.7</v>
      </c>
      <c r="G150" s="21">
        <v>135.19999999999999</v>
      </c>
      <c r="H150" s="22">
        <v>124.5</v>
      </c>
      <c r="I150" s="21">
        <v>129.80000000000001</v>
      </c>
      <c r="J150" s="2" t="s">
        <v>158</v>
      </c>
      <c r="K150" s="19">
        <v>68.900000000000006</v>
      </c>
      <c r="L150" s="19">
        <v>45.7</v>
      </c>
      <c r="M150" s="19">
        <v>30.4</v>
      </c>
      <c r="N150" s="5" t="s">
        <v>1</v>
      </c>
      <c r="O150" s="16" t="s">
        <v>155</v>
      </c>
      <c r="P150" s="11" t="s">
        <v>156</v>
      </c>
    </row>
    <row r="151" spans="1:16" ht="13.5" customHeight="1" x14ac:dyDescent="0.2">
      <c r="A151" s="5" t="s">
        <v>22</v>
      </c>
      <c r="B151" s="5" t="s">
        <v>0</v>
      </c>
      <c r="C151" s="12">
        <v>567542</v>
      </c>
      <c r="D151" s="12">
        <v>134540</v>
      </c>
      <c r="E151" s="2" t="s">
        <v>158</v>
      </c>
      <c r="F151" s="19">
        <v>211.3</v>
      </c>
      <c r="G151" s="21">
        <v>135</v>
      </c>
      <c r="H151" s="20">
        <v>124.3</v>
      </c>
      <c r="I151" s="21">
        <v>129.69999999999999</v>
      </c>
      <c r="J151" s="2" t="s">
        <v>158</v>
      </c>
      <c r="K151" s="19">
        <v>71.5</v>
      </c>
      <c r="L151" s="19">
        <v>60.1</v>
      </c>
      <c r="M151" s="19">
        <v>39.1</v>
      </c>
      <c r="N151" s="5" t="s">
        <v>1</v>
      </c>
      <c r="O151" s="16" t="s">
        <v>155</v>
      </c>
      <c r="P151" s="11" t="s">
        <v>156</v>
      </c>
    </row>
    <row r="152" spans="1:16" ht="13.5" customHeight="1" x14ac:dyDescent="0.2">
      <c r="A152" s="5" t="s">
        <v>23</v>
      </c>
      <c r="B152" s="3" t="s">
        <v>172</v>
      </c>
      <c r="C152" s="12">
        <v>568046</v>
      </c>
      <c r="D152" s="13">
        <v>134391</v>
      </c>
      <c r="E152" s="2" t="s">
        <v>158</v>
      </c>
      <c r="F152" s="19">
        <v>213.1</v>
      </c>
      <c r="G152" s="21">
        <v>133.6</v>
      </c>
      <c r="H152" s="20">
        <v>122.9</v>
      </c>
      <c r="I152" s="21">
        <v>128.30000000000001</v>
      </c>
      <c r="J152" s="2" t="s">
        <v>158</v>
      </c>
      <c r="K152" s="19">
        <v>76.099999999999994</v>
      </c>
      <c r="L152" s="19">
        <v>67.599999999999994</v>
      </c>
      <c r="M152" s="19">
        <v>36</v>
      </c>
      <c r="N152" s="5" t="s">
        <v>1</v>
      </c>
      <c r="O152" s="16" t="s">
        <v>155</v>
      </c>
      <c r="P152" s="11" t="s">
        <v>156</v>
      </c>
    </row>
    <row r="153" spans="1:16" ht="13.5" customHeight="1" x14ac:dyDescent="0.2">
      <c r="A153" s="5" t="s">
        <v>24</v>
      </c>
      <c r="B153" s="5" t="s">
        <v>0</v>
      </c>
      <c r="C153" s="12">
        <v>566907</v>
      </c>
      <c r="D153" s="12">
        <v>134032</v>
      </c>
      <c r="E153" s="2" t="s">
        <v>158</v>
      </c>
      <c r="F153" s="19">
        <v>205.5</v>
      </c>
      <c r="G153" s="21">
        <v>135.1</v>
      </c>
      <c r="H153" s="22">
        <v>124.4</v>
      </c>
      <c r="I153" s="21">
        <v>129.80000000000001</v>
      </c>
      <c r="J153" s="2" t="s">
        <v>158</v>
      </c>
      <c r="K153" s="19">
        <v>67.3</v>
      </c>
      <c r="L153" s="19">
        <v>39.700000000000003</v>
      </c>
      <c r="M153" s="23">
        <v>28.1</v>
      </c>
      <c r="N153" s="5" t="s">
        <v>1</v>
      </c>
      <c r="O153" s="16" t="s">
        <v>155</v>
      </c>
      <c r="P153" s="11" t="s">
        <v>156</v>
      </c>
    </row>
    <row r="154" spans="1:16" ht="13.5" customHeight="1" x14ac:dyDescent="0.2">
      <c r="A154" s="5" t="s">
        <v>25</v>
      </c>
      <c r="B154" s="5" t="s">
        <v>0</v>
      </c>
      <c r="C154" s="12">
        <v>567740</v>
      </c>
      <c r="D154" s="12">
        <v>134043</v>
      </c>
      <c r="E154" s="2" t="s">
        <v>158</v>
      </c>
      <c r="F154" s="19">
        <v>207.5</v>
      </c>
      <c r="G154" s="23">
        <v>140.5</v>
      </c>
      <c r="H154" s="24">
        <v>116.4</v>
      </c>
      <c r="I154" s="26">
        <v>128.4</v>
      </c>
      <c r="J154" s="2" t="s">
        <v>158</v>
      </c>
      <c r="K154" s="19">
        <v>70.400000000000006</v>
      </c>
      <c r="L154" s="19">
        <v>59.4</v>
      </c>
      <c r="M154" s="33">
        <v>32.299999999999997</v>
      </c>
      <c r="N154" s="5" t="s">
        <v>1</v>
      </c>
      <c r="O154" s="16" t="s">
        <v>155</v>
      </c>
      <c r="P154" s="11" t="s">
        <v>156</v>
      </c>
    </row>
    <row r="155" spans="1:16" ht="13.5" customHeight="1" x14ac:dyDescent="0.2">
      <c r="A155" s="5" t="s">
        <v>26</v>
      </c>
      <c r="B155" s="5" t="s">
        <v>0</v>
      </c>
      <c r="C155" s="12">
        <v>566961</v>
      </c>
      <c r="D155" s="12">
        <v>134483</v>
      </c>
      <c r="E155" s="2" t="s">
        <v>158</v>
      </c>
      <c r="F155" s="19">
        <v>207.1</v>
      </c>
      <c r="G155" s="27">
        <v>131.6</v>
      </c>
      <c r="H155" s="20">
        <v>119.4</v>
      </c>
      <c r="I155" s="19">
        <v>125.5</v>
      </c>
      <c r="J155" s="2" t="s">
        <v>158</v>
      </c>
      <c r="K155" s="19">
        <v>68.2</v>
      </c>
      <c r="L155" s="19">
        <v>50.4</v>
      </c>
      <c r="M155" s="19">
        <v>34.6</v>
      </c>
      <c r="N155" s="5" t="s">
        <v>27</v>
      </c>
      <c r="O155" s="16" t="s">
        <v>155</v>
      </c>
      <c r="P155" s="11" t="s">
        <v>156</v>
      </c>
    </row>
    <row r="156" spans="1:16" ht="13.5" customHeight="1" x14ac:dyDescent="0.2">
      <c r="A156" s="5" t="s">
        <v>28</v>
      </c>
      <c r="B156" s="3" t="s">
        <v>172</v>
      </c>
      <c r="C156" s="12">
        <v>566912</v>
      </c>
      <c r="D156" s="13">
        <v>134135</v>
      </c>
      <c r="E156" s="2" t="s">
        <v>158</v>
      </c>
      <c r="F156" s="19">
        <v>204.4</v>
      </c>
      <c r="G156" s="21">
        <v>131.19999999999999</v>
      </c>
      <c r="H156" s="20">
        <v>116</v>
      </c>
      <c r="I156" s="21">
        <v>123.6</v>
      </c>
      <c r="J156" s="2" t="s">
        <v>158</v>
      </c>
      <c r="K156" s="19">
        <v>65.400000000000006</v>
      </c>
      <c r="L156" s="19">
        <v>39.9</v>
      </c>
      <c r="M156" s="19">
        <v>29.5</v>
      </c>
      <c r="N156" s="5" t="s">
        <v>27</v>
      </c>
      <c r="O156" s="16" t="s">
        <v>155</v>
      </c>
      <c r="P156" s="11" t="s">
        <v>156</v>
      </c>
    </row>
    <row r="157" spans="1:16" ht="13.5" customHeight="1" x14ac:dyDescent="0.2">
      <c r="A157" s="5" t="s">
        <v>29</v>
      </c>
      <c r="B157" s="5" t="s">
        <v>0</v>
      </c>
      <c r="C157" s="12">
        <v>567168</v>
      </c>
      <c r="D157" s="12">
        <v>134030</v>
      </c>
      <c r="E157" s="2" t="s">
        <v>158</v>
      </c>
      <c r="F157" s="19">
        <v>205.6</v>
      </c>
      <c r="G157" s="21">
        <v>132.4</v>
      </c>
      <c r="H157" s="22">
        <v>118.7</v>
      </c>
      <c r="I157" s="21">
        <v>125.6</v>
      </c>
      <c r="J157" s="2" t="s">
        <v>158</v>
      </c>
      <c r="K157" s="19">
        <v>68.900000000000006</v>
      </c>
      <c r="L157" s="19">
        <v>45.2</v>
      </c>
      <c r="M157" s="29">
        <v>30.1</v>
      </c>
      <c r="N157" s="5" t="s">
        <v>27</v>
      </c>
      <c r="O157" s="16" t="s">
        <v>155</v>
      </c>
      <c r="P157" s="11" t="s">
        <v>156</v>
      </c>
    </row>
    <row r="158" spans="1:16" ht="13.5" customHeight="1" x14ac:dyDescent="0.2">
      <c r="A158" s="5" t="s">
        <v>30</v>
      </c>
      <c r="B158" s="5" t="s">
        <v>0</v>
      </c>
      <c r="C158" s="12">
        <v>566949</v>
      </c>
      <c r="D158" s="12">
        <v>134486</v>
      </c>
      <c r="E158" s="2" t="s">
        <v>158</v>
      </c>
      <c r="F158" s="19">
        <v>206.9</v>
      </c>
      <c r="G158" s="21">
        <v>132.30000000000001</v>
      </c>
      <c r="H158" s="20">
        <v>121.6</v>
      </c>
      <c r="I158" s="21">
        <v>127</v>
      </c>
      <c r="J158" s="2" t="s">
        <v>158</v>
      </c>
      <c r="K158" s="19">
        <v>68.2</v>
      </c>
      <c r="L158" s="19">
        <v>50.3</v>
      </c>
      <c r="M158" s="19">
        <v>34.6</v>
      </c>
      <c r="N158" s="5" t="s">
        <v>27</v>
      </c>
      <c r="O158" s="16" t="s">
        <v>155</v>
      </c>
      <c r="P158" s="11" t="s">
        <v>156</v>
      </c>
    </row>
    <row r="159" spans="1:16" ht="13.5" customHeight="1" x14ac:dyDescent="0.2">
      <c r="A159" s="5" t="s">
        <v>31</v>
      </c>
      <c r="B159" s="3" t="s">
        <v>172</v>
      </c>
      <c r="C159" s="12">
        <v>567010</v>
      </c>
      <c r="D159" s="13">
        <v>134430</v>
      </c>
      <c r="E159" s="2" t="s">
        <v>158</v>
      </c>
      <c r="F159" s="19">
        <v>207.3</v>
      </c>
      <c r="G159" s="21">
        <v>133.19999999999999</v>
      </c>
      <c r="H159" s="20">
        <v>122.5</v>
      </c>
      <c r="I159" s="21">
        <v>127.8</v>
      </c>
      <c r="J159" s="2" t="s">
        <v>158</v>
      </c>
      <c r="K159" s="19">
        <v>68.3</v>
      </c>
      <c r="L159" s="19">
        <v>49.4</v>
      </c>
      <c r="M159" s="19">
        <v>34.4</v>
      </c>
      <c r="N159" s="5" t="s">
        <v>27</v>
      </c>
      <c r="O159" s="16" t="s">
        <v>155</v>
      </c>
      <c r="P159" s="11" t="s">
        <v>156</v>
      </c>
    </row>
    <row r="160" spans="1:16" ht="13.5" customHeight="1" x14ac:dyDescent="0.2">
      <c r="A160" s="5" t="s">
        <v>32</v>
      </c>
      <c r="B160" s="5" t="s">
        <v>0</v>
      </c>
      <c r="C160" s="12">
        <v>567171</v>
      </c>
      <c r="D160" s="12">
        <v>134549</v>
      </c>
      <c r="E160" s="2" t="s">
        <v>158</v>
      </c>
      <c r="F160" s="19">
        <v>208.3</v>
      </c>
      <c r="G160" s="21">
        <v>132.1</v>
      </c>
      <c r="H160" s="22">
        <v>119.9</v>
      </c>
      <c r="I160" s="21">
        <v>126</v>
      </c>
      <c r="J160" s="2" t="s">
        <v>158</v>
      </c>
      <c r="K160" s="19">
        <v>70.8</v>
      </c>
      <c r="L160" s="19">
        <v>55</v>
      </c>
      <c r="M160" s="19">
        <v>37.200000000000003</v>
      </c>
      <c r="N160" s="5" t="s">
        <v>27</v>
      </c>
      <c r="O160" s="16" t="s">
        <v>155</v>
      </c>
      <c r="P160" s="11" t="s">
        <v>156</v>
      </c>
    </row>
    <row r="161" spans="1:16" ht="13.5" customHeight="1" x14ac:dyDescent="0.2">
      <c r="A161" s="5" t="s">
        <v>33</v>
      </c>
      <c r="B161" s="5" t="s">
        <v>0</v>
      </c>
      <c r="C161" s="12">
        <v>567352</v>
      </c>
      <c r="D161" s="12">
        <v>134146</v>
      </c>
      <c r="E161" s="2" t="s">
        <v>158</v>
      </c>
      <c r="F161" s="19">
        <v>208.5</v>
      </c>
      <c r="G161" s="21">
        <v>133.69999999999999</v>
      </c>
      <c r="H161" s="20">
        <v>124.6</v>
      </c>
      <c r="I161" s="21">
        <v>129.19999999999999</v>
      </c>
      <c r="J161" s="2" t="s">
        <v>158</v>
      </c>
      <c r="K161" s="19">
        <v>69</v>
      </c>
      <c r="L161" s="19">
        <v>50.9</v>
      </c>
      <c r="M161" s="19">
        <v>32.799999999999997</v>
      </c>
      <c r="N161" s="5" t="s">
        <v>27</v>
      </c>
      <c r="O161" s="16" t="s">
        <v>155</v>
      </c>
      <c r="P161" s="11" t="s">
        <v>156</v>
      </c>
    </row>
    <row r="162" spans="1:16" ht="13.5" customHeight="1" x14ac:dyDescent="0.2">
      <c r="A162" s="5" t="s">
        <v>34</v>
      </c>
      <c r="B162" s="3" t="s">
        <v>172</v>
      </c>
      <c r="C162" s="12">
        <v>566794</v>
      </c>
      <c r="D162" s="13">
        <v>134127</v>
      </c>
      <c r="E162" s="2" t="s">
        <v>158</v>
      </c>
      <c r="F162" s="21">
        <v>199.8</v>
      </c>
      <c r="G162" s="21">
        <v>143.19999999999999</v>
      </c>
      <c r="H162" s="20">
        <v>132</v>
      </c>
      <c r="I162" s="21">
        <v>137.6</v>
      </c>
      <c r="J162" s="2" t="s">
        <v>158</v>
      </c>
      <c r="K162" s="19">
        <v>66.5</v>
      </c>
      <c r="L162" s="19">
        <v>40.1</v>
      </c>
      <c r="M162" s="19">
        <v>28.4</v>
      </c>
      <c r="N162" s="5" t="s">
        <v>27</v>
      </c>
      <c r="O162" s="16" t="s">
        <v>155</v>
      </c>
      <c r="P162" s="11" t="s">
        <v>156</v>
      </c>
    </row>
    <row r="163" spans="1:16" ht="13.5" customHeight="1" x14ac:dyDescent="0.2">
      <c r="A163" s="5" t="s">
        <v>35</v>
      </c>
      <c r="B163" s="5" t="s">
        <v>0</v>
      </c>
      <c r="C163" s="12">
        <v>566759</v>
      </c>
      <c r="D163" s="12">
        <v>134167</v>
      </c>
      <c r="E163" s="2" t="s">
        <v>158</v>
      </c>
      <c r="F163" s="19">
        <v>202.5</v>
      </c>
      <c r="G163" s="21">
        <v>138.5</v>
      </c>
      <c r="H163" s="22">
        <v>129.1</v>
      </c>
      <c r="I163" s="21">
        <v>133.80000000000001</v>
      </c>
      <c r="J163" s="2" t="s">
        <v>158</v>
      </c>
      <c r="K163" s="19">
        <v>66.7</v>
      </c>
      <c r="L163" s="19">
        <v>41</v>
      </c>
      <c r="M163" s="19">
        <v>28.6</v>
      </c>
      <c r="N163" s="5" t="s">
        <v>27</v>
      </c>
      <c r="O163" s="16" t="s">
        <v>155</v>
      </c>
      <c r="P163" s="11" t="s">
        <v>156</v>
      </c>
    </row>
    <row r="164" spans="1:16" ht="13.5" customHeight="1" x14ac:dyDescent="0.2">
      <c r="A164" s="5" t="s">
        <v>36</v>
      </c>
      <c r="B164" s="5" t="s">
        <v>0</v>
      </c>
      <c r="C164" s="12">
        <v>566718</v>
      </c>
      <c r="D164" s="12">
        <v>134446</v>
      </c>
      <c r="E164" s="2" t="s">
        <v>158</v>
      </c>
      <c r="F164" s="19">
        <v>203.1</v>
      </c>
      <c r="G164" s="21">
        <v>137.4</v>
      </c>
      <c r="H164" s="20">
        <v>126.7</v>
      </c>
      <c r="I164" s="21">
        <v>132.1</v>
      </c>
      <c r="J164" s="2" t="s">
        <v>158</v>
      </c>
      <c r="K164" s="19">
        <v>67.8</v>
      </c>
      <c r="L164" s="19">
        <v>48.4</v>
      </c>
      <c r="M164" s="19">
        <v>31.9</v>
      </c>
      <c r="N164" s="5" t="s">
        <v>27</v>
      </c>
      <c r="O164" s="16" t="s">
        <v>155</v>
      </c>
      <c r="P164" s="11" t="s">
        <v>156</v>
      </c>
    </row>
    <row r="165" spans="1:16" ht="13.5" customHeight="1" x14ac:dyDescent="0.2">
      <c r="A165" s="3" t="s">
        <v>190</v>
      </c>
      <c r="B165" s="3" t="s">
        <v>172</v>
      </c>
      <c r="C165" s="12">
        <v>566708</v>
      </c>
      <c r="D165" s="13">
        <v>134294</v>
      </c>
      <c r="E165" s="2" t="s">
        <v>158</v>
      </c>
      <c r="F165" s="19">
        <v>202.6</v>
      </c>
      <c r="G165" s="21">
        <v>137.80000000000001</v>
      </c>
      <c r="H165" s="20">
        <v>126.5</v>
      </c>
      <c r="I165" s="21">
        <v>132.1</v>
      </c>
      <c r="J165" s="2" t="s">
        <v>158</v>
      </c>
      <c r="K165" s="19">
        <v>67.400000000000006</v>
      </c>
      <c r="L165" s="19">
        <v>44.4</v>
      </c>
      <c r="M165" s="19">
        <v>29.9</v>
      </c>
      <c r="N165" s="5" t="s">
        <v>27</v>
      </c>
      <c r="O165" s="16" t="s">
        <v>155</v>
      </c>
      <c r="P165" s="11" t="s">
        <v>156</v>
      </c>
    </row>
    <row r="166" spans="1:16" ht="13.5" customHeight="1" x14ac:dyDescent="0.2">
      <c r="A166" s="3" t="s">
        <v>189</v>
      </c>
      <c r="B166" s="3" t="s">
        <v>172</v>
      </c>
      <c r="C166" s="12">
        <v>566799</v>
      </c>
      <c r="D166" s="12">
        <v>134128</v>
      </c>
      <c r="E166" s="2" t="s">
        <v>158</v>
      </c>
      <c r="F166" s="21">
        <v>199.9</v>
      </c>
      <c r="G166" s="21">
        <v>132.9</v>
      </c>
      <c r="H166" s="22">
        <v>122.2</v>
      </c>
      <c r="I166" s="21">
        <v>127.6</v>
      </c>
      <c r="J166" s="2" t="s">
        <v>158</v>
      </c>
      <c r="K166" s="19">
        <v>66.400000000000006</v>
      </c>
      <c r="L166" s="19">
        <v>40.1</v>
      </c>
      <c r="M166" s="19">
        <v>28.4</v>
      </c>
      <c r="N166" s="5" t="s">
        <v>27</v>
      </c>
      <c r="O166" s="16" t="s">
        <v>155</v>
      </c>
      <c r="P166" s="11" t="s">
        <v>156</v>
      </c>
    </row>
    <row r="167" spans="1:16" ht="13.5" customHeight="1" x14ac:dyDescent="0.2">
      <c r="A167" s="3" t="s">
        <v>191</v>
      </c>
      <c r="B167" s="5" t="s">
        <v>7</v>
      </c>
      <c r="C167" s="12">
        <v>566628</v>
      </c>
      <c r="D167" s="12">
        <v>134392</v>
      </c>
      <c r="E167" s="2" t="s">
        <v>158</v>
      </c>
      <c r="F167" s="19">
        <v>202.5</v>
      </c>
      <c r="G167" s="23">
        <v>147.69999999999999</v>
      </c>
      <c r="H167" s="24">
        <v>127.6</v>
      </c>
      <c r="I167" s="26">
        <v>137.6</v>
      </c>
      <c r="J167" s="2" t="s">
        <v>158</v>
      </c>
      <c r="K167" s="19">
        <v>68.2</v>
      </c>
      <c r="L167" s="19">
        <v>47.4</v>
      </c>
      <c r="M167" s="33">
        <v>30.4</v>
      </c>
      <c r="N167" s="5" t="s">
        <v>27</v>
      </c>
      <c r="O167" s="16" t="s">
        <v>155</v>
      </c>
      <c r="P167" s="11" t="s">
        <v>156</v>
      </c>
    </row>
    <row r="168" spans="1:16" ht="13.5" customHeight="1" x14ac:dyDescent="0.2">
      <c r="A168" s="5" t="s">
        <v>37</v>
      </c>
      <c r="B168" s="5" t="s">
        <v>0</v>
      </c>
      <c r="C168" s="12">
        <v>566424</v>
      </c>
      <c r="D168" s="12">
        <v>133294</v>
      </c>
      <c r="E168" s="2" t="s">
        <v>158</v>
      </c>
      <c r="F168" s="19">
        <v>199</v>
      </c>
      <c r="G168" s="19">
        <v>137.4</v>
      </c>
      <c r="H168" s="19">
        <v>126.7</v>
      </c>
      <c r="I168" s="19">
        <v>132.1</v>
      </c>
      <c r="J168" s="2" t="s">
        <v>158</v>
      </c>
      <c r="K168" s="19">
        <v>72.099999999999994</v>
      </c>
      <c r="L168" s="19">
        <v>41.7</v>
      </c>
      <c r="M168" s="19">
        <v>17.2</v>
      </c>
      <c r="N168" s="5" t="s">
        <v>38</v>
      </c>
      <c r="O168" s="16" t="s">
        <v>155</v>
      </c>
      <c r="P168" s="11" t="s">
        <v>156</v>
      </c>
    </row>
    <row r="169" spans="1:16" ht="13.5" customHeight="1" x14ac:dyDescent="0.2">
      <c r="A169" s="5" t="s">
        <v>39</v>
      </c>
      <c r="B169" s="3" t="s">
        <v>172</v>
      </c>
      <c r="C169" s="12">
        <v>566683</v>
      </c>
      <c r="D169" s="13">
        <v>133539</v>
      </c>
      <c r="E169" s="2" t="s">
        <v>158</v>
      </c>
      <c r="F169" s="19">
        <v>204.7</v>
      </c>
      <c r="G169" s="21">
        <v>136.6</v>
      </c>
      <c r="H169" s="19">
        <v>125.9</v>
      </c>
      <c r="I169" s="21">
        <v>131.30000000000001</v>
      </c>
      <c r="J169" s="2" t="s">
        <v>158</v>
      </c>
      <c r="K169" s="19">
        <v>74.7</v>
      </c>
      <c r="L169" s="19">
        <v>42</v>
      </c>
      <c r="M169" s="19">
        <v>20.8</v>
      </c>
      <c r="N169" s="5" t="s">
        <v>38</v>
      </c>
      <c r="O169" s="16" t="s">
        <v>155</v>
      </c>
      <c r="P169" s="11" t="s">
        <v>156</v>
      </c>
    </row>
    <row r="170" spans="1:16" ht="13.5" customHeight="1" x14ac:dyDescent="0.2">
      <c r="A170" s="5" t="s">
        <v>40</v>
      </c>
      <c r="B170" s="5" t="s">
        <v>0</v>
      </c>
      <c r="C170" s="12">
        <v>566908</v>
      </c>
      <c r="D170" s="12">
        <v>133670</v>
      </c>
      <c r="E170" s="2" t="s">
        <v>158</v>
      </c>
      <c r="F170" s="19">
        <v>206.5</v>
      </c>
      <c r="G170" s="19">
        <v>82.7</v>
      </c>
      <c r="H170" s="19">
        <v>79.599999999999994</v>
      </c>
      <c r="I170" s="19">
        <v>81.2</v>
      </c>
      <c r="J170" s="2" t="s">
        <v>158</v>
      </c>
      <c r="K170" s="19">
        <v>76.3</v>
      </c>
      <c r="L170" s="19">
        <v>42.5</v>
      </c>
      <c r="M170" s="19">
        <v>23.9</v>
      </c>
      <c r="N170" s="5" t="s">
        <v>38</v>
      </c>
      <c r="O170" s="16" t="s">
        <v>155</v>
      </c>
      <c r="P170" s="11" t="s">
        <v>156</v>
      </c>
    </row>
    <row r="171" spans="1:16" ht="13.5" customHeight="1" x14ac:dyDescent="0.2">
      <c r="A171" s="3" t="s">
        <v>192</v>
      </c>
      <c r="B171" s="5" t="s">
        <v>41</v>
      </c>
      <c r="C171" s="12">
        <v>568330</v>
      </c>
      <c r="D171" s="12">
        <v>137321</v>
      </c>
      <c r="E171" s="2" t="s">
        <v>158</v>
      </c>
      <c r="F171" s="19">
        <v>221.7</v>
      </c>
      <c r="G171" s="21">
        <v>128.80000000000001</v>
      </c>
      <c r="H171" s="19">
        <v>83</v>
      </c>
      <c r="I171" s="19">
        <v>105.9</v>
      </c>
      <c r="J171" s="2" t="s">
        <v>158</v>
      </c>
      <c r="K171" s="19">
        <v>-9999</v>
      </c>
      <c r="L171" s="19">
        <v>105.6</v>
      </c>
      <c r="M171" s="19">
        <v>77</v>
      </c>
      <c r="N171" s="5" t="s">
        <v>38</v>
      </c>
      <c r="O171" s="16" t="s">
        <v>155</v>
      </c>
      <c r="P171" s="11" t="s">
        <v>156</v>
      </c>
    </row>
    <row r="172" spans="1:16" ht="13.5" customHeight="1" x14ac:dyDescent="0.2">
      <c r="A172" s="5" t="s">
        <v>42</v>
      </c>
      <c r="B172" s="3" t="s">
        <v>171</v>
      </c>
      <c r="C172" s="12">
        <v>568175</v>
      </c>
      <c r="D172" s="13">
        <v>137621</v>
      </c>
      <c r="E172" s="2" t="s">
        <v>158</v>
      </c>
      <c r="F172" s="19">
        <v>217.1</v>
      </c>
      <c r="G172" s="21">
        <v>112.1</v>
      </c>
      <c r="H172" s="19">
        <v>106</v>
      </c>
      <c r="I172" s="21">
        <v>109</v>
      </c>
      <c r="J172" s="2" t="s">
        <v>158</v>
      </c>
      <c r="K172" s="21">
        <v>-9999</v>
      </c>
      <c r="L172" s="21">
        <v>108.5</v>
      </c>
      <c r="M172" s="19">
        <v>83.1</v>
      </c>
      <c r="N172" s="5" t="s">
        <v>38</v>
      </c>
      <c r="O172" s="16" t="s">
        <v>155</v>
      </c>
      <c r="P172" s="11" t="s">
        <v>156</v>
      </c>
    </row>
    <row r="173" spans="1:16" ht="13.5" customHeight="1" x14ac:dyDescent="0.2">
      <c r="A173" s="5" t="s">
        <v>43</v>
      </c>
      <c r="B173" s="5" t="s">
        <v>41</v>
      </c>
      <c r="C173" s="12">
        <v>568175</v>
      </c>
      <c r="D173" s="12">
        <v>137621</v>
      </c>
      <c r="E173" s="2" t="s">
        <v>158</v>
      </c>
      <c r="F173" s="19">
        <v>217.1</v>
      </c>
      <c r="G173" s="19">
        <v>93.8</v>
      </c>
      <c r="H173" s="19">
        <v>87.6</v>
      </c>
      <c r="I173" s="19">
        <v>90.7</v>
      </c>
      <c r="J173" s="2" t="s">
        <v>158</v>
      </c>
      <c r="K173" s="19">
        <v>-9999</v>
      </c>
      <c r="L173" s="21">
        <v>108.5</v>
      </c>
      <c r="M173" s="19">
        <v>83.1</v>
      </c>
      <c r="N173" s="5" t="s">
        <v>44</v>
      </c>
      <c r="O173" s="16" t="s">
        <v>155</v>
      </c>
      <c r="P173" s="11" t="s">
        <v>156</v>
      </c>
    </row>
    <row r="174" spans="1:16" ht="13.5" customHeight="1" x14ac:dyDescent="0.2">
      <c r="A174" s="5" t="s">
        <v>45</v>
      </c>
      <c r="B174" s="5" t="s">
        <v>41</v>
      </c>
      <c r="C174" s="12">
        <v>567163</v>
      </c>
      <c r="D174" s="12">
        <v>137635</v>
      </c>
      <c r="E174" s="2" t="s">
        <v>158</v>
      </c>
      <c r="F174" s="19">
        <v>214.4</v>
      </c>
      <c r="G174" s="21">
        <v>137.9</v>
      </c>
      <c r="H174" s="19">
        <v>131.80000000000001</v>
      </c>
      <c r="I174" s="21">
        <v>134.9</v>
      </c>
      <c r="J174" s="2" t="s">
        <v>158</v>
      </c>
      <c r="K174" s="21">
        <v>-9999</v>
      </c>
      <c r="L174" s="19">
        <v>91.3</v>
      </c>
      <c r="M174" s="19">
        <v>73.5</v>
      </c>
      <c r="N174" s="5" t="s">
        <v>38</v>
      </c>
      <c r="O174" s="16" t="s">
        <v>155</v>
      </c>
      <c r="P174" s="11" t="s">
        <v>156</v>
      </c>
    </row>
    <row r="175" spans="1:16" ht="13.5" customHeight="1" x14ac:dyDescent="0.2">
      <c r="A175" s="5" t="s">
        <v>46</v>
      </c>
      <c r="B175" s="3" t="s">
        <v>171</v>
      </c>
      <c r="C175" s="12">
        <v>566916</v>
      </c>
      <c r="D175" s="13">
        <v>137635</v>
      </c>
      <c r="E175" s="2" t="s">
        <v>158</v>
      </c>
      <c r="F175" s="19">
        <v>211.2</v>
      </c>
      <c r="G175" s="21">
        <v>137.4</v>
      </c>
      <c r="H175" s="19">
        <v>132.80000000000001</v>
      </c>
      <c r="I175" s="21">
        <v>135.1</v>
      </c>
      <c r="J175" s="2" t="s">
        <v>158</v>
      </c>
      <c r="K175" s="21">
        <v>-9999</v>
      </c>
      <c r="L175" s="34">
        <v>92.7</v>
      </c>
      <c r="M175" s="19">
        <v>70.400000000000006</v>
      </c>
      <c r="N175" s="5" t="s">
        <v>38</v>
      </c>
      <c r="O175" s="16" t="s">
        <v>155</v>
      </c>
      <c r="P175" s="11" t="s">
        <v>156</v>
      </c>
    </row>
    <row r="176" spans="1:16" ht="13.5" customHeight="1" x14ac:dyDescent="0.2">
      <c r="A176" s="5" t="s">
        <v>47</v>
      </c>
      <c r="B176" s="5" t="s">
        <v>41</v>
      </c>
      <c r="C176" s="12">
        <v>567782</v>
      </c>
      <c r="D176" s="12">
        <v>137076</v>
      </c>
      <c r="E176" s="2" t="s">
        <v>158</v>
      </c>
      <c r="F176" s="19">
        <v>221</v>
      </c>
      <c r="G176" s="21">
        <v>126.5</v>
      </c>
      <c r="H176" s="19">
        <v>77.7</v>
      </c>
      <c r="I176" s="21">
        <v>102.1</v>
      </c>
      <c r="J176" s="2" t="s">
        <v>158</v>
      </c>
      <c r="K176" s="19">
        <v>-9999</v>
      </c>
      <c r="L176" s="19">
        <v>88.8</v>
      </c>
      <c r="M176" s="19">
        <v>70.8</v>
      </c>
      <c r="N176" s="5" t="s">
        <v>38</v>
      </c>
      <c r="O176" s="16" t="s">
        <v>155</v>
      </c>
      <c r="P176" s="11" t="s">
        <v>156</v>
      </c>
    </row>
    <row r="177" spans="1:16" ht="13.5" customHeight="1" x14ac:dyDescent="0.2">
      <c r="A177" s="5" t="s">
        <v>48</v>
      </c>
      <c r="B177" s="5" t="s">
        <v>41</v>
      </c>
      <c r="C177" s="12">
        <v>567767</v>
      </c>
      <c r="D177" s="12">
        <v>137473</v>
      </c>
      <c r="E177" s="2" t="s">
        <v>158</v>
      </c>
      <c r="F177" s="19">
        <v>220.6</v>
      </c>
      <c r="G177" s="19">
        <v>92.6</v>
      </c>
      <c r="H177" s="19">
        <v>86.5</v>
      </c>
      <c r="I177" s="19">
        <v>89.6</v>
      </c>
      <c r="J177" s="2" t="s">
        <v>158</v>
      </c>
      <c r="K177" s="21">
        <v>-9999</v>
      </c>
      <c r="L177" s="19">
        <v>96.4</v>
      </c>
      <c r="M177" s="19">
        <v>74.7</v>
      </c>
      <c r="N177" s="5" t="s">
        <v>49</v>
      </c>
      <c r="O177" s="16" t="s">
        <v>155</v>
      </c>
      <c r="P177" s="11" t="s">
        <v>156</v>
      </c>
    </row>
    <row r="178" spans="1:16" ht="13.5" customHeight="1" x14ac:dyDescent="0.2">
      <c r="A178" s="5" t="s">
        <v>50</v>
      </c>
      <c r="B178" s="3" t="s">
        <v>171</v>
      </c>
      <c r="C178" s="12">
        <v>567118</v>
      </c>
      <c r="D178" s="13">
        <v>137299</v>
      </c>
      <c r="E178" s="2" t="s">
        <v>158</v>
      </c>
      <c r="F178" s="19">
        <v>213.4</v>
      </c>
      <c r="G178" s="19">
        <v>88.5</v>
      </c>
      <c r="H178" s="19">
        <v>85.4</v>
      </c>
      <c r="I178" s="19">
        <v>87</v>
      </c>
      <c r="J178" s="2" t="s">
        <v>158</v>
      </c>
      <c r="K178" s="21">
        <v>-9999</v>
      </c>
      <c r="L178" s="19">
        <v>86.2</v>
      </c>
      <c r="M178" s="19">
        <v>68.599999999999994</v>
      </c>
      <c r="N178" s="5" t="s">
        <v>38</v>
      </c>
      <c r="O178" s="16" t="s">
        <v>155</v>
      </c>
      <c r="P178" s="11" t="s">
        <v>156</v>
      </c>
    </row>
    <row r="179" spans="1:16" ht="13.5" customHeight="1" x14ac:dyDescent="0.2">
      <c r="A179" s="5" t="s">
        <v>51</v>
      </c>
      <c r="B179" s="5" t="s">
        <v>41</v>
      </c>
      <c r="C179" s="12">
        <v>567319</v>
      </c>
      <c r="D179" s="12">
        <v>137639</v>
      </c>
      <c r="E179" s="2" t="s">
        <v>158</v>
      </c>
      <c r="F179" s="19">
        <v>216.5</v>
      </c>
      <c r="G179" s="19">
        <v>88.9</v>
      </c>
      <c r="H179" s="19">
        <v>85.7</v>
      </c>
      <c r="I179" s="19">
        <v>87.3</v>
      </c>
      <c r="J179" s="2" t="s">
        <v>158</v>
      </c>
      <c r="K179" s="19">
        <v>-9999</v>
      </c>
      <c r="L179" s="19">
        <v>89.6</v>
      </c>
      <c r="M179" s="19">
        <v>72.7</v>
      </c>
      <c r="N179" s="5" t="s">
        <v>49</v>
      </c>
      <c r="O179" s="16" t="s">
        <v>155</v>
      </c>
      <c r="P179" s="11" t="s">
        <v>156</v>
      </c>
    </row>
    <row r="180" spans="1:16" ht="13.5" customHeight="1" x14ac:dyDescent="0.2">
      <c r="A180" s="5" t="s">
        <v>52</v>
      </c>
      <c r="B180" s="5" t="s">
        <v>53</v>
      </c>
      <c r="C180" s="12">
        <v>566292</v>
      </c>
      <c r="D180" s="12">
        <v>137639</v>
      </c>
      <c r="E180" s="2" t="s">
        <v>158</v>
      </c>
      <c r="F180" s="19">
        <v>206.5</v>
      </c>
      <c r="G180" s="19">
        <v>69.599999999999994</v>
      </c>
      <c r="H180" s="19">
        <v>63.2</v>
      </c>
      <c r="I180" s="19">
        <v>66.400000000000006</v>
      </c>
      <c r="J180" s="2" t="s">
        <v>158</v>
      </c>
      <c r="K180" s="29">
        <v>-9999</v>
      </c>
      <c r="L180" s="19">
        <v>93.1</v>
      </c>
      <c r="M180" s="33">
        <v>62</v>
      </c>
      <c r="N180" s="5" t="s">
        <v>49</v>
      </c>
      <c r="O180" s="16" t="s">
        <v>155</v>
      </c>
      <c r="P180" s="11" t="s">
        <v>156</v>
      </c>
    </row>
    <row r="181" spans="1:16" ht="13.5" customHeight="1" x14ac:dyDescent="0.2">
      <c r="A181" s="5" t="s">
        <v>54</v>
      </c>
      <c r="B181" s="5" t="s">
        <v>41</v>
      </c>
      <c r="C181" s="12">
        <v>565749</v>
      </c>
      <c r="D181" s="12">
        <v>137647</v>
      </c>
      <c r="E181" s="2" t="s">
        <v>158</v>
      </c>
      <c r="F181" s="19">
        <v>214.3</v>
      </c>
      <c r="G181" s="19">
        <v>142.30000000000001</v>
      </c>
      <c r="H181" s="19">
        <v>136.1</v>
      </c>
      <c r="I181" s="19">
        <v>139.19999999999999</v>
      </c>
      <c r="J181" s="2" t="s">
        <v>158</v>
      </c>
      <c r="K181" s="19">
        <v>77.8</v>
      </c>
      <c r="L181" s="19">
        <v>72.8</v>
      </c>
      <c r="M181" s="19">
        <v>56.8</v>
      </c>
      <c r="N181" s="5" t="s">
        <v>55</v>
      </c>
      <c r="O181" s="16" t="s">
        <v>155</v>
      </c>
      <c r="P181" s="11" t="s">
        <v>156</v>
      </c>
    </row>
    <row r="182" spans="1:16" ht="13.5" customHeight="1" x14ac:dyDescent="0.2">
      <c r="A182" s="5" t="s">
        <v>56</v>
      </c>
      <c r="B182" s="3" t="s">
        <v>171</v>
      </c>
      <c r="C182" s="12">
        <v>565742</v>
      </c>
      <c r="D182" s="13">
        <v>136873</v>
      </c>
      <c r="E182" s="2" t="s">
        <v>158</v>
      </c>
      <c r="F182" s="19">
        <v>223.8</v>
      </c>
      <c r="G182" s="21">
        <v>137</v>
      </c>
      <c r="H182" s="19">
        <v>126.3</v>
      </c>
      <c r="I182" s="21">
        <v>131.69999999999999</v>
      </c>
      <c r="J182" s="2" t="s">
        <v>158</v>
      </c>
      <c r="K182" s="19">
        <v>74.2</v>
      </c>
      <c r="L182" s="19">
        <v>59.7</v>
      </c>
      <c r="M182" s="19">
        <v>47.5</v>
      </c>
      <c r="N182" s="5" t="s">
        <v>55</v>
      </c>
      <c r="O182" s="16" t="s">
        <v>155</v>
      </c>
      <c r="P182" s="11" t="s">
        <v>156</v>
      </c>
    </row>
    <row r="183" spans="1:16" ht="13.5" customHeight="1" x14ac:dyDescent="0.2">
      <c r="A183" s="9" t="s">
        <v>57</v>
      </c>
      <c r="B183" s="9" t="s">
        <v>0</v>
      </c>
      <c r="C183" s="14">
        <v>568572</v>
      </c>
      <c r="D183" s="14">
        <v>128636</v>
      </c>
      <c r="E183" s="2" t="s">
        <v>158</v>
      </c>
      <c r="F183" s="26">
        <v>172.7</v>
      </c>
      <c r="G183" s="28">
        <f>F183-(70/3.28084)</f>
        <v>151.36400068275196</v>
      </c>
      <c r="H183" s="28">
        <f>(G183+I183)/2</f>
        <v>136.12400117043194</v>
      </c>
      <c r="I183" s="28">
        <f>F183-(170/3.28084)</f>
        <v>120.88400165811194</v>
      </c>
      <c r="J183" s="3" t="s">
        <v>169</v>
      </c>
      <c r="K183" s="25">
        <v>106.1</v>
      </c>
      <c r="L183" s="25">
        <v>94.1</v>
      </c>
      <c r="M183" s="35">
        <v>90.4</v>
      </c>
      <c r="N183" s="17"/>
      <c r="O183" s="5" t="s">
        <v>58</v>
      </c>
      <c r="P183" s="4" t="s">
        <v>154</v>
      </c>
    </row>
    <row r="184" spans="1:16" ht="13.5" customHeight="1" x14ac:dyDescent="0.2">
      <c r="A184" s="3" t="s">
        <v>157</v>
      </c>
      <c r="B184" s="5" t="s">
        <v>7</v>
      </c>
      <c r="C184" s="12">
        <v>563131</v>
      </c>
      <c r="D184" s="13">
        <v>129414</v>
      </c>
      <c r="E184" s="2" t="s">
        <v>158</v>
      </c>
      <c r="F184" s="21">
        <v>197.4</v>
      </c>
      <c r="G184" s="21">
        <v>174.5</v>
      </c>
      <c r="H184" s="19">
        <v>159.30000000000001</v>
      </c>
      <c r="I184" s="21">
        <v>166.9</v>
      </c>
      <c r="J184" s="2" t="s">
        <v>158</v>
      </c>
      <c r="K184" s="26">
        <v>-9999</v>
      </c>
      <c r="L184" s="33">
        <v>-9999</v>
      </c>
      <c r="M184" s="35">
        <v>91.1</v>
      </c>
      <c r="N184" s="18" t="s">
        <v>170</v>
      </c>
      <c r="O184" s="11" t="s">
        <v>155</v>
      </c>
      <c r="P184" s="4" t="s">
        <v>156</v>
      </c>
    </row>
    <row r="185" spans="1:16" ht="13.5" customHeight="1" x14ac:dyDescent="0.2">
      <c r="A185" s="9" t="s">
        <v>59</v>
      </c>
      <c r="B185" s="9" t="s">
        <v>7</v>
      </c>
      <c r="C185" s="14">
        <v>568545</v>
      </c>
      <c r="D185" s="14">
        <v>131172</v>
      </c>
      <c r="E185" s="2" t="s">
        <v>158</v>
      </c>
      <c r="F185" s="26">
        <v>192.6</v>
      </c>
      <c r="G185" s="25">
        <v>139.19999999999999</v>
      </c>
      <c r="H185" s="19">
        <v>127.3</v>
      </c>
      <c r="I185" s="19">
        <v>133.19999999999999</v>
      </c>
      <c r="J185" s="2" t="s">
        <v>158</v>
      </c>
      <c r="K185" s="21">
        <v>-9999</v>
      </c>
      <c r="L185" s="23">
        <v>-9999</v>
      </c>
      <c r="M185" s="36">
        <v>98.8</v>
      </c>
      <c r="N185" s="18" t="s">
        <v>170</v>
      </c>
      <c r="O185" s="11" t="s">
        <v>155</v>
      </c>
      <c r="P185" s="4" t="s">
        <v>156</v>
      </c>
    </row>
    <row r="186" spans="1:16" ht="13.5" customHeight="1" x14ac:dyDescent="0.2">
      <c r="A186" s="5" t="s">
        <v>60</v>
      </c>
      <c r="B186" s="3" t="s">
        <v>172</v>
      </c>
      <c r="C186" s="12">
        <v>565676</v>
      </c>
      <c r="D186" s="13">
        <v>131106</v>
      </c>
      <c r="E186" s="2" t="s">
        <v>158</v>
      </c>
      <c r="F186" s="21">
        <v>188.6</v>
      </c>
      <c r="G186" s="29"/>
      <c r="H186" s="29"/>
      <c r="I186" s="29"/>
      <c r="J186" s="3" t="s">
        <v>160</v>
      </c>
      <c r="K186" s="19">
        <v>-9999</v>
      </c>
      <c r="L186" s="23">
        <v>-9999</v>
      </c>
      <c r="M186" s="36">
        <v>155.5</v>
      </c>
      <c r="N186" s="18"/>
      <c r="O186" s="16" t="s">
        <v>159</v>
      </c>
      <c r="P186" s="11" t="s">
        <v>154</v>
      </c>
    </row>
    <row r="187" spans="1:16" ht="13.5" customHeight="1" x14ac:dyDescent="0.2">
      <c r="A187" s="5" t="s">
        <v>61</v>
      </c>
      <c r="B187" s="5" t="s">
        <v>0</v>
      </c>
      <c r="C187" s="12">
        <v>562779</v>
      </c>
      <c r="D187" s="12">
        <v>131375</v>
      </c>
      <c r="E187" s="2" t="s">
        <v>158</v>
      </c>
      <c r="F187" s="21">
        <v>199.3</v>
      </c>
      <c r="G187" s="21">
        <v>149</v>
      </c>
      <c r="H187" s="21">
        <v>133</v>
      </c>
      <c r="I187" s="21">
        <v>141</v>
      </c>
      <c r="J187" s="2" t="s">
        <v>158</v>
      </c>
      <c r="K187" s="19">
        <v>76.400000000000006</v>
      </c>
      <c r="L187" s="23">
        <v>-9999</v>
      </c>
      <c r="M187" s="36">
        <v>58.2</v>
      </c>
      <c r="N187" s="18" t="s">
        <v>170</v>
      </c>
      <c r="O187" s="11" t="s">
        <v>155</v>
      </c>
      <c r="P187" s="11" t="s">
        <v>156</v>
      </c>
    </row>
    <row r="188" spans="1:16" ht="13.5" customHeight="1" x14ac:dyDescent="0.2">
      <c r="A188" s="5" t="s">
        <v>62</v>
      </c>
      <c r="B188" s="3" t="s">
        <v>172</v>
      </c>
      <c r="C188" s="12">
        <v>569325</v>
      </c>
      <c r="D188" s="13">
        <v>131676</v>
      </c>
      <c r="E188" s="2" t="s">
        <v>158</v>
      </c>
      <c r="F188" s="21">
        <v>196.6</v>
      </c>
      <c r="G188" s="21">
        <v>119.1</v>
      </c>
      <c r="H188" s="19">
        <v>109.9</v>
      </c>
      <c r="I188" s="21">
        <v>114.5</v>
      </c>
      <c r="J188" s="2" t="s">
        <v>158</v>
      </c>
      <c r="K188" s="19">
        <v>95.2</v>
      </c>
      <c r="L188" s="19">
        <v>83.5</v>
      </c>
      <c r="M188" s="19">
        <v>41</v>
      </c>
      <c r="N188" s="5" t="s">
        <v>55</v>
      </c>
      <c r="O188" s="11" t="s">
        <v>155</v>
      </c>
      <c r="P188" s="11" t="s">
        <v>156</v>
      </c>
    </row>
    <row r="189" spans="1:16" ht="13.5" customHeight="1" x14ac:dyDescent="0.2">
      <c r="A189" s="5" t="s">
        <v>63</v>
      </c>
      <c r="B189" s="5" t="s">
        <v>0</v>
      </c>
      <c r="C189" s="12">
        <v>570054</v>
      </c>
      <c r="D189" s="12">
        <v>132337</v>
      </c>
      <c r="E189" s="2" t="s">
        <v>158</v>
      </c>
      <c r="F189" s="19">
        <v>206</v>
      </c>
      <c r="G189" s="19">
        <v>107.1</v>
      </c>
      <c r="H189" s="19">
        <v>101</v>
      </c>
      <c r="I189" s="19">
        <v>104</v>
      </c>
      <c r="J189" s="2" t="s">
        <v>158</v>
      </c>
      <c r="K189" s="19">
        <v>90.2</v>
      </c>
      <c r="L189" s="19">
        <v>85.4</v>
      </c>
      <c r="M189" s="19">
        <v>19.3</v>
      </c>
      <c r="N189" s="5" t="s">
        <v>55</v>
      </c>
      <c r="O189" s="11" t="s">
        <v>155</v>
      </c>
      <c r="P189" s="11" t="s">
        <v>156</v>
      </c>
    </row>
    <row r="190" spans="1:16" ht="13.5" customHeight="1" x14ac:dyDescent="0.2">
      <c r="A190" s="5" t="s">
        <v>64</v>
      </c>
      <c r="B190" s="5" t="s">
        <v>65</v>
      </c>
      <c r="C190" s="12">
        <v>572394</v>
      </c>
      <c r="D190" s="12">
        <v>132771</v>
      </c>
      <c r="E190" s="2" t="s">
        <v>158</v>
      </c>
      <c r="F190" s="19">
        <v>211.4</v>
      </c>
      <c r="G190" s="21">
        <v>124.5</v>
      </c>
      <c r="H190" s="21">
        <v>113.8</v>
      </c>
      <c r="I190" s="21">
        <v>119.2</v>
      </c>
      <c r="J190" s="2" t="s">
        <v>158</v>
      </c>
      <c r="K190" s="19">
        <v>86.9</v>
      </c>
      <c r="L190" s="19">
        <v>72.8</v>
      </c>
      <c r="M190" s="19">
        <v>8.6</v>
      </c>
      <c r="N190" s="5" t="s">
        <v>55</v>
      </c>
      <c r="O190" s="11" t="s">
        <v>155</v>
      </c>
      <c r="P190" s="11" t="s">
        <v>156</v>
      </c>
    </row>
    <row r="191" spans="1:16" ht="13.5" customHeight="1" x14ac:dyDescent="0.2">
      <c r="A191" s="5" t="s">
        <v>66</v>
      </c>
      <c r="B191" s="5" t="s">
        <v>0</v>
      </c>
      <c r="C191" s="12">
        <v>570717</v>
      </c>
      <c r="D191" s="12">
        <v>132675</v>
      </c>
      <c r="E191" s="2" t="s">
        <v>158</v>
      </c>
      <c r="F191" s="19">
        <v>211.7</v>
      </c>
      <c r="G191" s="19">
        <v>98.3</v>
      </c>
      <c r="H191" s="19">
        <v>92.2</v>
      </c>
      <c r="I191" s="19">
        <v>95.3</v>
      </c>
      <c r="J191" s="2" t="s">
        <v>158</v>
      </c>
      <c r="K191" s="19">
        <v>91.7</v>
      </c>
      <c r="L191" s="19">
        <v>79.8</v>
      </c>
      <c r="M191" s="19">
        <v>21</v>
      </c>
      <c r="N191" s="5" t="s">
        <v>67</v>
      </c>
      <c r="O191" s="11" t="s">
        <v>155</v>
      </c>
      <c r="P191" s="11" t="s">
        <v>156</v>
      </c>
    </row>
    <row r="192" spans="1:16" ht="13.5" customHeight="1" x14ac:dyDescent="0.2">
      <c r="A192" s="5" t="s">
        <v>68</v>
      </c>
      <c r="B192" s="3" t="s">
        <v>172</v>
      </c>
      <c r="C192" s="12">
        <v>569991</v>
      </c>
      <c r="D192" s="13">
        <v>132739</v>
      </c>
      <c r="E192" s="2" t="s">
        <v>158</v>
      </c>
      <c r="F192" s="19">
        <v>209.7</v>
      </c>
      <c r="G192" s="19">
        <v>92.4</v>
      </c>
      <c r="H192" s="19">
        <v>89.3</v>
      </c>
      <c r="I192" s="19">
        <v>90.8</v>
      </c>
      <c r="J192" s="2" t="s">
        <v>158</v>
      </c>
      <c r="K192" s="19">
        <v>87.6</v>
      </c>
      <c r="L192" s="19">
        <v>86.4</v>
      </c>
      <c r="M192" s="19">
        <v>25.5</v>
      </c>
      <c r="N192" s="5" t="s">
        <v>67</v>
      </c>
      <c r="O192" s="11" t="s">
        <v>155</v>
      </c>
      <c r="P192" s="11" t="s">
        <v>156</v>
      </c>
    </row>
    <row r="193" spans="1:16" ht="13.5" customHeight="1" x14ac:dyDescent="0.2">
      <c r="A193" s="5" t="s">
        <v>69</v>
      </c>
      <c r="B193" s="5" t="s">
        <v>0</v>
      </c>
      <c r="C193" s="12">
        <v>568429</v>
      </c>
      <c r="D193" s="12">
        <v>132582</v>
      </c>
      <c r="E193" s="2" t="s">
        <v>158</v>
      </c>
      <c r="F193" s="21">
        <v>198.2</v>
      </c>
      <c r="G193" s="21">
        <v>100.7</v>
      </c>
      <c r="H193" s="19">
        <v>91.5</v>
      </c>
      <c r="I193" s="19">
        <v>96.1</v>
      </c>
      <c r="J193" s="2" t="s">
        <v>158</v>
      </c>
      <c r="K193" s="19">
        <v>80.2</v>
      </c>
      <c r="L193" s="19">
        <v>73.3</v>
      </c>
      <c r="M193" s="19">
        <v>27.8</v>
      </c>
      <c r="N193" s="5" t="s">
        <v>67</v>
      </c>
      <c r="O193" s="11" t="s">
        <v>155</v>
      </c>
      <c r="P193" s="11" t="s">
        <v>156</v>
      </c>
    </row>
    <row r="194" spans="1:16" ht="13.5" customHeight="1" x14ac:dyDescent="0.2">
      <c r="A194" s="5" t="s">
        <v>70</v>
      </c>
      <c r="B194" s="5" t="s">
        <v>0</v>
      </c>
      <c r="C194" s="12">
        <v>567782</v>
      </c>
      <c r="D194" s="12">
        <v>132790</v>
      </c>
      <c r="E194" s="2" t="s">
        <v>158</v>
      </c>
      <c r="F194" s="19">
        <v>201.3</v>
      </c>
      <c r="G194" s="21">
        <v>131.4</v>
      </c>
      <c r="H194" s="19">
        <v>120.6</v>
      </c>
      <c r="I194" s="21">
        <v>126</v>
      </c>
      <c r="J194" s="2" t="s">
        <v>158</v>
      </c>
      <c r="K194" s="19">
        <v>78.599999999999994</v>
      </c>
      <c r="L194" s="19">
        <v>61.7</v>
      </c>
      <c r="M194" s="19">
        <v>28.1</v>
      </c>
      <c r="N194" s="5" t="s">
        <v>67</v>
      </c>
      <c r="O194" s="11" t="s">
        <v>155</v>
      </c>
      <c r="P194" s="11" t="s">
        <v>156</v>
      </c>
    </row>
    <row r="195" spans="1:16" ht="13.5" customHeight="1" x14ac:dyDescent="0.2">
      <c r="A195" s="5" t="s">
        <v>71</v>
      </c>
      <c r="B195" s="3" t="s">
        <v>172</v>
      </c>
      <c r="C195" s="12">
        <v>569598</v>
      </c>
      <c r="D195" s="13">
        <v>133081</v>
      </c>
      <c r="E195" s="2" t="s">
        <v>158</v>
      </c>
      <c r="F195" s="19">
        <v>210.4</v>
      </c>
      <c r="G195" s="21">
        <v>130</v>
      </c>
      <c r="H195" s="19">
        <v>119.3</v>
      </c>
      <c r="I195" s="21">
        <v>124.6</v>
      </c>
      <c r="J195" s="2" t="s">
        <v>158</v>
      </c>
      <c r="K195" s="19">
        <v>94.7</v>
      </c>
      <c r="L195" s="19">
        <v>90.4</v>
      </c>
      <c r="M195" s="19">
        <v>29.9</v>
      </c>
      <c r="N195" s="5" t="s">
        <v>67</v>
      </c>
      <c r="O195" s="11" t="s">
        <v>155</v>
      </c>
      <c r="P195" s="11" t="s">
        <v>156</v>
      </c>
    </row>
    <row r="196" spans="1:16" ht="13.5" customHeight="1" x14ac:dyDescent="0.2">
      <c r="A196" s="5" t="s">
        <v>72</v>
      </c>
      <c r="B196" s="5" t="s">
        <v>0</v>
      </c>
      <c r="C196" s="12">
        <v>571800</v>
      </c>
      <c r="D196" s="12">
        <v>133400</v>
      </c>
      <c r="E196" s="2" t="s">
        <v>158</v>
      </c>
      <c r="F196" s="19">
        <v>217.6</v>
      </c>
      <c r="G196" s="29">
        <v>111.2</v>
      </c>
      <c r="H196" s="19">
        <v>94.5</v>
      </c>
      <c r="I196" s="21">
        <v>102.9</v>
      </c>
      <c r="J196" s="2" t="s">
        <v>158</v>
      </c>
      <c r="K196" s="19">
        <v>94.7</v>
      </c>
      <c r="L196" s="19">
        <v>75.599999999999994</v>
      </c>
      <c r="M196" s="29">
        <v>31.6</v>
      </c>
      <c r="N196" s="5" t="s">
        <v>67</v>
      </c>
      <c r="O196" s="11" t="s">
        <v>155</v>
      </c>
      <c r="P196" s="11" t="s">
        <v>156</v>
      </c>
    </row>
    <row r="197" spans="1:16" ht="13.5" customHeight="1" x14ac:dyDescent="0.2">
      <c r="A197" s="5" t="s">
        <v>73</v>
      </c>
      <c r="B197" s="5" t="s">
        <v>0</v>
      </c>
      <c r="C197" s="12">
        <v>571010</v>
      </c>
      <c r="D197" s="12">
        <v>133216</v>
      </c>
      <c r="E197" s="2" t="s">
        <v>158</v>
      </c>
      <c r="F197" s="19">
        <v>216</v>
      </c>
      <c r="G197" s="21">
        <v>132.19999999999999</v>
      </c>
      <c r="H197" s="19">
        <v>125.4</v>
      </c>
      <c r="I197" s="21">
        <v>128.80000000000001</v>
      </c>
      <c r="J197" s="2" t="s">
        <v>158</v>
      </c>
      <c r="K197" s="19">
        <v>94.3</v>
      </c>
      <c r="L197" s="19">
        <v>74.400000000000006</v>
      </c>
      <c r="M197" s="19">
        <v>30.6</v>
      </c>
      <c r="N197" s="5" t="s">
        <v>67</v>
      </c>
      <c r="O197" s="11" t="s">
        <v>155</v>
      </c>
      <c r="P197" s="11" t="s">
        <v>156</v>
      </c>
    </row>
    <row r="198" spans="1:16" ht="13.5" customHeight="1" x14ac:dyDescent="0.2">
      <c r="A198" s="5" t="s">
        <v>74</v>
      </c>
      <c r="B198" s="3" t="s">
        <v>172</v>
      </c>
      <c r="C198" s="12">
        <v>571010</v>
      </c>
      <c r="D198" s="13">
        <v>133216</v>
      </c>
      <c r="E198" s="2" t="s">
        <v>158</v>
      </c>
      <c r="F198" s="19">
        <v>216</v>
      </c>
      <c r="G198" s="19">
        <v>66.599999999999994</v>
      </c>
      <c r="H198" s="19">
        <v>63.6</v>
      </c>
      <c r="I198" s="19">
        <v>65.099999999999994</v>
      </c>
      <c r="J198" s="2" t="s">
        <v>158</v>
      </c>
      <c r="K198" s="19">
        <v>94.3</v>
      </c>
      <c r="L198" s="19">
        <v>74.400000000000006</v>
      </c>
      <c r="M198" s="19">
        <v>30.6</v>
      </c>
      <c r="N198" s="5" t="s">
        <v>49</v>
      </c>
      <c r="O198" s="11" t="s">
        <v>155</v>
      </c>
      <c r="P198" s="11" t="s">
        <v>156</v>
      </c>
    </row>
    <row r="199" spans="1:16" ht="13.5" customHeight="1" x14ac:dyDescent="0.2">
      <c r="A199" s="5" t="s">
        <v>75</v>
      </c>
      <c r="B199" s="5" t="s">
        <v>0</v>
      </c>
      <c r="C199" s="12">
        <v>570451</v>
      </c>
      <c r="D199" s="12">
        <v>133304</v>
      </c>
      <c r="E199" s="2" t="s">
        <v>158</v>
      </c>
      <c r="F199" s="19">
        <v>214.7</v>
      </c>
      <c r="G199" s="21">
        <v>114.9</v>
      </c>
      <c r="H199" s="19">
        <v>95</v>
      </c>
      <c r="I199" s="21">
        <v>105</v>
      </c>
      <c r="J199" s="2" t="s">
        <v>158</v>
      </c>
      <c r="K199" s="19">
        <v>94.4</v>
      </c>
      <c r="L199" s="19">
        <v>81.599999999999994</v>
      </c>
      <c r="M199" s="19">
        <v>35</v>
      </c>
      <c r="N199" s="5" t="s">
        <v>67</v>
      </c>
      <c r="O199" s="11" t="s">
        <v>155</v>
      </c>
      <c r="P199" s="11" t="s">
        <v>156</v>
      </c>
    </row>
    <row r="200" spans="1:16" ht="13.5" customHeight="1" x14ac:dyDescent="0.2">
      <c r="A200" s="5" t="s">
        <v>76</v>
      </c>
      <c r="B200" s="3" t="s">
        <v>172</v>
      </c>
      <c r="C200" s="12">
        <v>568462</v>
      </c>
      <c r="D200" s="13">
        <v>133242</v>
      </c>
      <c r="E200" s="2" t="s">
        <v>158</v>
      </c>
      <c r="F200" s="19">
        <v>203.8</v>
      </c>
      <c r="G200" s="21">
        <v>140.69999999999999</v>
      </c>
      <c r="H200" s="21">
        <v>128.9</v>
      </c>
      <c r="I200" s="21">
        <v>134.80000000000001</v>
      </c>
      <c r="J200" s="2" t="s">
        <v>158</v>
      </c>
      <c r="K200" s="19">
        <v>82.9</v>
      </c>
      <c r="L200" s="19">
        <v>73.7</v>
      </c>
      <c r="M200" s="19">
        <v>33.9</v>
      </c>
      <c r="N200" s="5" t="s">
        <v>67</v>
      </c>
      <c r="O200" s="11" t="s">
        <v>155</v>
      </c>
      <c r="P200" s="11" t="s">
        <v>156</v>
      </c>
    </row>
    <row r="201" spans="1:16" ht="13.5" customHeight="1" x14ac:dyDescent="0.2">
      <c r="A201" s="5" t="s">
        <v>77</v>
      </c>
      <c r="B201" s="3" t="s">
        <v>172</v>
      </c>
      <c r="C201" s="12">
        <v>567943</v>
      </c>
      <c r="D201" s="13">
        <v>133363</v>
      </c>
      <c r="E201" s="2" t="s">
        <v>158</v>
      </c>
      <c r="F201" s="19">
        <v>204.1</v>
      </c>
      <c r="G201" s="21">
        <v>140</v>
      </c>
      <c r="H201" s="19">
        <v>92.3</v>
      </c>
      <c r="I201" s="21">
        <v>116.2</v>
      </c>
      <c r="J201" s="2" t="s">
        <v>158</v>
      </c>
      <c r="K201" s="19">
        <v>79.3</v>
      </c>
      <c r="L201" s="19">
        <v>65</v>
      </c>
      <c r="M201" s="19">
        <v>29</v>
      </c>
      <c r="N201" s="5" t="s">
        <v>67</v>
      </c>
      <c r="O201" s="11" t="s">
        <v>155</v>
      </c>
      <c r="P201" s="11" t="s">
        <v>156</v>
      </c>
    </row>
    <row r="202" spans="1:16" ht="13.5" customHeight="1" x14ac:dyDescent="0.2">
      <c r="A202" s="5" t="s">
        <v>78</v>
      </c>
      <c r="B202" s="5" t="s">
        <v>0</v>
      </c>
      <c r="C202" s="12">
        <v>567935</v>
      </c>
      <c r="D202" s="12">
        <v>133362</v>
      </c>
      <c r="E202" s="2" t="s">
        <v>158</v>
      </c>
      <c r="F202" s="19">
        <v>204.4</v>
      </c>
      <c r="G202" s="21">
        <v>139</v>
      </c>
      <c r="H202" s="21">
        <v>129.69999999999999</v>
      </c>
      <c r="I202" s="21">
        <v>134.4</v>
      </c>
      <c r="J202" s="2" t="s">
        <v>158</v>
      </c>
      <c r="K202" s="19">
        <v>79.2</v>
      </c>
      <c r="L202" s="19">
        <v>64.8</v>
      </c>
      <c r="M202" s="19">
        <v>29</v>
      </c>
      <c r="N202" s="5" t="s">
        <v>67</v>
      </c>
      <c r="O202" s="11" t="s">
        <v>155</v>
      </c>
      <c r="P202" s="11" t="s">
        <v>156</v>
      </c>
    </row>
    <row r="203" spans="1:16" ht="13.5" customHeight="1" x14ac:dyDescent="0.2">
      <c r="A203" s="5" t="s">
        <v>79</v>
      </c>
      <c r="B203" s="5" t="s">
        <v>0</v>
      </c>
      <c r="C203" s="12">
        <v>566684</v>
      </c>
      <c r="D203" s="12">
        <v>133138</v>
      </c>
      <c r="E203" s="2" t="s">
        <v>158</v>
      </c>
      <c r="F203" s="19">
        <v>204</v>
      </c>
      <c r="G203" s="23">
        <v>134.80000000000001</v>
      </c>
      <c r="H203" s="19">
        <v>124.1</v>
      </c>
      <c r="I203" s="26">
        <v>129.4</v>
      </c>
      <c r="J203" s="2" t="s">
        <v>158</v>
      </c>
      <c r="K203" s="19">
        <v>72.7</v>
      </c>
      <c r="L203" s="19">
        <v>43.1</v>
      </c>
      <c r="M203" s="33">
        <v>18.8</v>
      </c>
      <c r="N203" s="5" t="s">
        <v>67</v>
      </c>
      <c r="O203" s="11" t="s">
        <v>155</v>
      </c>
      <c r="P203" s="11" t="s">
        <v>156</v>
      </c>
    </row>
    <row r="204" spans="1:16" ht="13.5" customHeight="1" x14ac:dyDescent="0.2">
      <c r="A204" s="5" t="s">
        <v>80</v>
      </c>
      <c r="B204" s="5" t="s">
        <v>81</v>
      </c>
      <c r="C204" s="12">
        <v>572923</v>
      </c>
      <c r="D204" s="12">
        <v>133627</v>
      </c>
      <c r="E204" s="2" t="s">
        <v>158</v>
      </c>
      <c r="F204" s="19">
        <v>219.1</v>
      </c>
      <c r="G204" s="19">
        <v>123.1</v>
      </c>
      <c r="H204" s="20">
        <v>94.5</v>
      </c>
      <c r="I204" s="19">
        <v>108.8</v>
      </c>
      <c r="J204" s="2" t="s">
        <v>158</v>
      </c>
      <c r="K204" s="19">
        <v>93.3</v>
      </c>
      <c r="L204" s="19">
        <v>76.7</v>
      </c>
      <c r="M204" s="19">
        <v>35.799999999999997</v>
      </c>
      <c r="N204" s="5" t="s">
        <v>1</v>
      </c>
      <c r="O204" s="11" t="s">
        <v>155</v>
      </c>
      <c r="P204" s="11" t="s">
        <v>156</v>
      </c>
    </row>
    <row r="205" spans="1:16" ht="13.5" customHeight="1" x14ac:dyDescent="0.2">
      <c r="A205" s="5" t="s">
        <v>82</v>
      </c>
      <c r="B205" s="5" t="s">
        <v>0</v>
      </c>
      <c r="C205" s="12">
        <v>567473</v>
      </c>
      <c r="D205" s="13">
        <v>133552</v>
      </c>
      <c r="E205" s="2" t="s">
        <v>158</v>
      </c>
      <c r="F205" s="19">
        <v>205.4</v>
      </c>
      <c r="G205" s="21">
        <v>134.4</v>
      </c>
      <c r="H205" s="20">
        <v>123.7</v>
      </c>
      <c r="I205" s="21">
        <v>129</v>
      </c>
      <c r="J205" s="2" t="s">
        <v>158</v>
      </c>
      <c r="K205" s="19">
        <v>74.7</v>
      </c>
      <c r="L205" s="19">
        <v>53.2</v>
      </c>
      <c r="M205" s="19">
        <v>26.9</v>
      </c>
      <c r="N205" s="5" t="s">
        <v>1</v>
      </c>
      <c r="O205" s="11" t="s">
        <v>155</v>
      </c>
      <c r="P205" s="11" t="s">
        <v>156</v>
      </c>
    </row>
    <row r="206" spans="1:16" ht="13.5" customHeight="1" x14ac:dyDescent="0.2">
      <c r="A206" s="5" t="s">
        <v>83</v>
      </c>
      <c r="B206" s="5" t="s">
        <v>0</v>
      </c>
      <c r="C206" s="12">
        <v>566908</v>
      </c>
      <c r="D206" s="12">
        <v>133662</v>
      </c>
      <c r="E206" s="2" t="s">
        <v>158</v>
      </c>
      <c r="F206" s="19">
        <v>206.6</v>
      </c>
      <c r="G206" s="21">
        <v>135</v>
      </c>
      <c r="H206" s="22">
        <v>124.3</v>
      </c>
      <c r="I206" s="21">
        <v>129.6</v>
      </c>
      <c r="J206" s="2" t="s">
        <v>158</v>
      </c>
      <c r="K206" s="19">
        <v>76.5</v>
      </c>
      <c r="L206" s="19">
        <v>42.6</v>
      </c>
      <c r="M206" s="19">
        <v>23.8</v>
      </c>
      <c r="N206" s="5" t="s">
        <v>1</v>
      </c>
      <c r="O206" s="11" t="s">
        <v>155</v>
      </c>
      <c r="P206" s="11" t="s">
        <v>156</v>
      </c>
    </row>
    <row r="207" spans="1:16" ht="13.5" customHeight="1" x14ac:dyDescent="0.2">
      <c r="A207" s="5" t="s">
        <v>84</v>
      </c>
      <c r="B207" s="5" t="s">
        <v>0</v>
      </c>
      <c r="C207" s="12">
        <v>566621</v>
      </c>
      <c r="D207" s="12">
        <v>133600</v>
      </c>
      <c r="E207" s="2" t="s">
        <v>158</v>
      </c>
      <c r="F207" s="19">
        <v>203.2</v>
      </c>
      <c r="G207" s="21">
        <v>135.5</v>
      </c>
      <c r="H207" s="20">
        <v>124.9</v>
      </c>
      <c r="I207" s="21">
        <v>130.19999999999999</v>
      </c>
      <c r="J207" s="2" t="s">
        <v>158</v>
      </c>
      <c r="K207" s="19">
        <v>74.099999999999994</v>
      </c>
      <c r="L207" s="19">
        <v>41.7</v>
      </c>
      <c r="M207" s="19">
        <v>20.8</v>
      </c>
      <c r="N207" s="5" t="s">
        <v>1</v>
      </c>
      <c r="O207" s="11" t="s">
        <v>155</v>
      </c>
      <c r="P207" s="11" t="s">
        <v>156</v>
      </c>
    </row>
    <row r="208" spans="1:16" ht="13.5" customHeight="1" x14ac:dyDescent="0.2">
      <c r="A208" s="5" t="s">
        <v>85</v>
      </c>
      <c r="B208" s="5" t="s">
        <v>0</v>
      </c>
      <c r="C208" s="12">
        <v>571396</v>
      </c>
      <c r="D208" s="13">
        <v>133810</v>
      </c>
      <c r="E208" s="2" t="s">
        <v>158</v>
      </c>
      <c r="F208" s="19">
        <v>220.9</v>
      </c>
      <c r="G208" s="21">
        <v>128.5</v>
      </c>
      <c r="H208" s="20">
        <v>122.4</v>
      </c>
      <c r="I208" s="21">
        <v>125.4</v>
      </c>
      <c r="J208" s="2" t="s">
        <v>158</v>
      </c>
      <c r="K208" s="19">
        <v>99</v>
      </c>
      <c r="L208" s="19">
        <v>78</v>
      </c>
      <c r="M208" s="19">
        <v>41</v>
      </c>
      <c r="N208" s="5" t="s">
        <v>1</v>
      </c>
      <c r="O208" s="11" t="s">
        <v>155</v>
      </c>
      <c r="P208" s="11" t="s">
        <v>156</v>
      </c>
    </row>
    <row r="209" spans="1:16" ht="13.5" customHeight="1" x14ac:dyDescent="0.2">
      <c r="A209" s="5" t="s">
        <v>86</v>
      </c>
      <c r="B209" s="5" t="s">
        <v>0</v>
      </c>
      <c r="C209" s="12">
        <v>567860</v>
      </c>
      <c r="D209" s="12">
        <v>133785</v>
      </c>
      <c r="E209" s="2" t="s">
        <v>158</v>
      </c>
      <c r="F209" s="19">
        <v>205.3</v>
      </c>
      <c r="G209" s="21">
        <v>133.69999999999999</v>
      </c>
      <c r="H209" s="22">
        <v>123.1</v>
      </c>
      <c r="I209" s="21">
        <v>128.4</v>
      </c>
      <c r="J209" s="2" t="s">
        <v>158</v>
      </c>
      <c r="K209" s="19">
        <v>74.599999999999994</v>
      </c>
      <c r="L209" s="19">
        <v>61.7</v>
      </c>
      <c r="M209" s="19">
        <v>29.8</v>
      </c>
      <c r="N209" s="5" t="s">
        <v>1</v>
      </c>
      <c r="O209" s="11" t="s">
        <v>155</v>
      </c>
      <c r="P209" s="11" t="s">
        <v>156</v>
      </c>
    </row>
    <row r="210" spans="1:16" ht="13.5" customHeight="1" x14ac:dyDescent="0.2">
      <c r="A210" s="5" t="s">
        <v>87</v>
      </c>
      <c r="B210" s="5" t="s">
        <v>0</v>
      </c>
      <c r="C210" s="12">
        <v>563012</v>
      </c>
      <c r="D210" s="12">
        <v>133950</v>
      </c>
      <c r="E210" s="2" t="s">
        <v>158</v>
      </c>
      <c r="F210" s="21">
        <v>193.5</v>
      </c>
      <c r="G210" s="21">
        <v>146</v>
      </c>
      <c r="H210" s="20">
        <v>135</v>
      </c>
      <c r="I210" s="21">
        <v>140.5</v>
      </c>
      <c r="J210" s="2" t="s">
        <v>158</v>
      </c>
      <c r="K210" s="19">
        <v>65</v>
      </c>
      <c r="L210" s="19">
        <v>36</v>
      </c>
      <c r="M210" s="21">
        <v>-6.6</v>
      </c>
      <c r="N210" s="5" t="s">
        <v>1</v>
      </c>
      <c r="O210" s="11" t="s">
        <v>155</v>
      </c>
      <c r="P210" s="11" t="s">
        <v>156</v>
      </c>
    </row>
    <row r="211" spans="1:16" ht="13.5" customHeight="1" x14ac:dyDescent="0.2">
      <c r="A211" s="5" t="s">
        <v>88</v>
      </c>
      <c r="B211" s="5" t="s">
        <v>0</v>
      </c>
      <c r="C211" s="12">
        <v>571956</v>
      </c>
      <c r="D211" s="13">
        <v>134096</v>
      </c>
      <c r="E211" s="2" t="s">
        <v>158</v>
      </c>
      <c r="F211" s="19">
        <v>221.5</v>
      </c>
      <c r="G211" s="21">
        <v>127</v>
      </c>
      <c r="H211" s="20">
        <v>114.8</v>
      </c>
      <c r="I211" s="21">
        <v>120.9</v>
      </c>
      <c r="J211" s="2" t="s">
        <v>158</v>
      </c>
      <c r="K211" s="19">
        <v>100.8</v>
      </c>
      <c r="L211" s="19">
        <v>80.900000000000006</v>
      </c>
      <c r="M211" s="19">
        <v>45.9</v>
      </c>
      <c r="N211" s="5" t="s">
        <v>1</v>
      </c>
      <c r="O211" s="11" t="s">
        <v>155</v>
      </c>
      <c r="P211" s="11" t="s">
        <v>156</v>
      </c>
    </row>
    <row r="212" spans="1:16" ht="13.5" customHeight="1" x14ac:dyDescent="0.2">
      <c r="A212" s="5" t="s">
        <v>89</v>
      </c>
      <c r="B212" s="5" t="s">
        <v>0</v>
      </c>
      <c r="C212" s="12">
        <v>569858</v>
      </c>
      <c r="D212" s="12">
        <v>134099</v>
      </c>
      <c r="E212" s="2" t="s">
        <v>158</v>
      </c>
      <c r="F212" s="19">
        <v>221.8</v>
      </c>
      <c r="G212" s="21">
        <v>142.5</v>
      </c>
      <c r="H212" s="22">
        <v>128</v>
      </c>
      <c r="I212" s="21">
        <v>135.30000000000001</v>
      </c>
      <c r="J212" s="2" t="s">
        <v>158</v>
      </c>
      <c r="K212" s="29">
        <v>100.1</v>
      </c>
      <c r="L212" s="19">
        <v>86.3</v>
      </c>
      <c r="M212" s="19">
        <v>46.3</v>
      </c>
      <c r="N212" s="5" t="s">
        <v>1</v>
      </c>
      <c r="O212" s="11" t="s">
        <v>155</v>
      </c>
      <c r="P212" s="11" t="s">
        <v>156</v>
      </c>
    </row>
    <row r="213" spans="1:16" ht="13.5" customHeight="1" x14ac:dyDescent="0.2">
      <c r="A213" s="5" t="s">
        <v>90</v>
      </c>
      <c r="B213" s="5" t="s">
        <v>0</v>
      </c>
      <c r="C213" s="12">
        <v>568566</v>
      </c>
      <c r="D213" s="13">
        <v>133988</v>
      </c>
      <c r="E213" s="2" t="s">
        <v>158</v>
      </c>
      <c r="F213" s="19">
        <v>212.3</v>
      </c>
      <c r="G213" s="21">
        <v>141.30000000000001</v>
      </c>
      <c r="H213" s="20">
        <v>135.19999999999999</v>
      </c>
      <c r="I213" s="21">
        <v>138.30000000000001</v>
      </c>
      <c r="J213" s="2" t="s">
        <v>158</v>
      </c>
      <c r="K213" s="19">
        <v>84.6</v>
      </c>
      <c r="L213" s="19">
        <v>75.2</v>
      </c>
      <c r="M213" s="19">
        <v>30.6</v>
      </c>
      <c r="N213" s="5" t="s">
        <v>1</v>
      </c>
      <c r="O213" s="11" t="s">
        <v>155</v>
      </c>
      <c r="P213" s="11" t="s">
        <v>156</v>
      </c>
    </row>
    <row r="214" spans="1:16" ht="13.5" customHeight="1" x14ac:dyDescent="0.2">
      <c r="A214" s="5" t="s">
        <v>91</v>
      </c>
      <c r="B214" s="5" t="s">
        <v>0</v>
      </c>
      <c r="C214" s="12">
        <v>566064</v>
      </c>
      <c r="D214" s="13">
        <v>134271</v>
      </c>
      <c r="E214" s="2" t="s">
        <v>158</v>
      </c>
      <c r="F214" s="19">
        <v>202</v>
      </c>
      <c r="G214" s="21">
        <v>147.1</v>
      </c>
      <c r="H214" s="20">
        <v>131.9</v>
      </c>
      <c r="I214" s="21">
        <v>139.5</v>
      </c>
      <c r="J214" s="2" t="s">
        <v>158</v>
      </c>
      <c r="K214" s="19">
        <v>74.400000000000006</v>
      </c>
      <c r="L214" s="19">
        <v>51.2</v>
      </c>
      <c r="M214" s="19">
        <v>23.6</v>
      </c>
      <c r="N214" s="5" t="s">
        <v>1</v>
      </c>
      <c r="O214" s="11" t="s">
        <v>155</v>
      </c>
      <c r="P214" s="11" t="s">
        <v>156</v>
      </c>
    </row>
    <row r="215" spans="1:16" ht="13.5" customHeight="1" x14ac:dyDescent="0.2">
      <c r="A215" s="5" t="s">
        <v>92</v>
      </c>
      <c r="B215" s="5" t="s">
        <v>0</v>
      </c>
      <c r="C215" s="12">
        <v>571395</v>
      </c>
      <c r="D215" s="12">
        <v>134557</v>
      </c>
      <c r="E215" s="2" t="s">
        <v>158</v>
      </c>
      <c r="F215" s="19">
        <v>228.6</v>
      </c>
      <c r="G215" s="21">
        <v>128</v>
      </c>
      <c r="H215" s="22">
        <v>120.5</v>
      </c>
      <c r="I215" s="21">
        <v>124.3</v>
      </c>
      <c r="J215" s="2" t="s">
        <v>158</v>
      </c>
      <c r="K215" s="21">
        <v>106.6</v>
      </c>
      <c r="L215" s="19">
        <v>83.8</v>
      </c>
      <c r="M215" s="19">
        <v>59.3</v>
      </c>
      <c r="N215" s="5" t="s">
        <v>1</v>
      </c>
      <c r="O215" s="11" t="s">
        <v>155</v>
      </c>
      <c r="P215" s="11" t="s">
        <v>156</v>
      </c>
    </row>
    <row r="216" spans="1:16" ht="13.5" customHeight="1" x14ac:dyDescent="0.2">
      <c r="A216" s="5" t="s">
        <v>93</v>
      </c>
      <c r="B216" s="5" t="s">
        <v>0</v>
      </c>
      <c r="C216" s="12">
        <v>570684</v>
      </c>
      <c r="D216" s="12">
        <v>134229</v>
      </c>
      <c r="E216" s="2" t="s">
        <v>158</v>
      </c>
      <c r="F216" s="19">
        <v>228.1</v>
      </c>
      <c r="G216" s="23">
        <v>113.8</v>
      </c>
      <c r="H216" s="24">
        <v>104.6</v>
      </c>
      <c r="I216" s="26">
        <v>109.2</v>
      </c>
      <c r="J216" s="2" t="s">
        <v>158</v>
      </c>
      <c r="K216" s="19">
        <v>101.5</v>
      </c>
      <c r="L216" s="19">
        <v>84.3</v>
      </c>
      <c r="M216" s="33">
        <v>51.7</v>
      </c>
      <c r="N216" s="5" t="s">
        <v>1</v>
      </c>
      <c r="O216" s="11" t="s">
        <v>155</v>
      </c>
      <c r="P216" s="11" t="s">
        <v>156</v>
      </c>
    </row>
    <row r="217" spans="1:16" ht="13.5" customHeight="1" x14ac:dyDescent="0.2">
      <c r="A217" s="5" t="s">
        <v>94</v>
      </c>
      <c r="B217" s="5" t="s">
        <v>0</v>
      </c>
      <c r="C217" s="12">
        <v>570034</v>
      </c>
      <c r="D217" s="12">
        <v>134469</v>
      </c>
      <c r="E217" s="2" t="s">
        <v>158</v>
      </c>
      <c r="F217" s="19">
        <v>224.1</v>
      </c>
      <c r="G217" s="19">
        <v>128.6</v>
      </c>
      <c r="H217" s="20">
        <v>121</v>
      </c>
      <c r="I217" s="19">
        <v>124.8</v>
      </c>
      <c r="J217" s="2" t="s">
        <v>158</v>
      </c>
      <c r="K217" s="19">
        <v>103.3</v>
      </c>
      <c r="L217" s="19">
        <v>87.9</v>
      </c>
      <c r="M217" s="19">
        <v>54.7</v>
      </c>
      <c r="N217" s="5" t="s">
        <v>1</v>
      </c>
      <c r="O217" s="11" t="s">
        <v>155</v>
      </c>
      <c r="P217" s="11" t="s">
        <v>156</v>
      </c>
    </row>
    <row r="218" spans="1:16" ht="13.5" customHeight="1" x14ac:dyDescent="0.2">
      <c r="A218" s="5" t="s">
        <v>95</v>
      </c>
      <c r="B218" s="3" t="s">
        <v>172</v>
      </c>
      <c r="C218" s="12">
        <v>569731</v>
      </c>
      <c r="D218" s="13">
        <v>134469</v>
      </c>
      <c r="E218" s="2" t="s">
        <v>158</v>
      </c>
      <c r="F218" s="19">
        <v>220.5</v>
      </c>
      <c r="G218" s="21">
        <v>130.9</v>
      </c>
      <c r="H218" s="20">
        <v>120.2</v>
      </c>
      <c r="I218" s="21">
        <v>125.5</v>
      </c>
      <c r="J218" s="2" t="s">
        <v>158</v>
      </c>
      <c r="K218" s="19">
        <v>101.4</v>
      </c>
      <c r="L218" s="19">
        <v>87.7</v>
      </c>
      <c r="M218" s="19">
        <v>51.4</v>
      </c>
      <c r="N218" s="5" t="s">
        <v>1</v>
      </c>
      <c r="O218" s="11" t="s">
        <v>155</v>
      </c>
      <c r="P218" s="11" t="s">
        <v>156</v>
      </c>
    </row>
    <row r="219" spans="1:16" ht="13.5" customHeight="1" x14ac:dyDescent="0.2">
      <c r="A219" s="5" t="s">
        <v>96</v>
      </c>
      <c r="B219" s="5" t="s">
        <v>0</v>
      </c>
      <c r="C219" s="12">
        <v>568467</v>
      </c>
      <c r="D219" s="12">
        <v>134309</v>
      </c>
      <c r="E219" s="2" t="s">
        <v>158</v>
      </c>
      <c r="F219" s="19">
        <v>215.2</v>
      </c>
      <c r="G219" s="21">
        <v>136.69999999999999</v>
      </c>
      <c r="H219" s="22">
        <v>127.5</v>
      </c>
      <c r="I219" s="21">
        <v>132.1</v>
      </c>
      <c r="J219" s="2" t="s">
        <v>158</v>
      </c>
      <c r="K219" s="19">
        <v>83.2</v>
      </c>
      <c r="L219" s="19">
        <v>74.400000000000006</v>
      </c>
      <c r="M219" s="19">
        <v>34.5</v>
      </c>
      <c r="N219" s="5" t="s">
        <v>1</v>
      </c>
      <c r="O219" s="11" t="s">
        <v>155</v>
      </c>
      <c r="P219" s="11" t="s">
        <v>156</v>
      </c>
    </row>
    <row r="220" spans="1:16" ht="13.5" customHeight="1" x14ac:dyDescent="0.2">
      <c r="A220" s="5" t="s">
        <v>97</v>
      </c>
      <c r="B220" s="5" t="s">
        <v>0</v>
      </c>
      <c r="C220" s="12">
        <v>568428</v>
      </c>
      <c r="D220" s="12">
        <v>134626</v>
      </c>
      <c r="E220" s="2" t="s">
        <v>158</v>
      </c>
      <c r="F220" s="19">
        <v>214.5</v>
      </c>
      <c r="G220" s="21">
        <v>134</v>
      </c>
      <c r="H220" s="20">
        <v>123.3</v>
      </c>
      <c r="I220" s="21">
        <v>128.6</v>
      </c>
      <c r="J220" s="2" t="s">
        <v>158</v>
      </c>
      <c r="K220" s="19">
        <v>81.900000000000006</v>
      </c>
      <c r="L220" s="19">
        <v>75.400000000000006</v>
      </c>
      <c r="M220" s="19">
        <v>37.799999999999997</v>
      </c>
      <c r="N220" s="5" t="s">
        <v>1</v>
      </c>
      <c r="O220" s="11" t="s">
        <v>155</v>
      </c>
      <c r="P220" s="11" t="s">
        <v>156</v>
      </c>
    </row>
    <row r="221" spans="1:16" ht="13.5" customHeight="1" x14ac:dyDescent="0.2">
      <c r="A221" s="5" t="s">
        <v>98</v>
      </c>
      <c r="B221" s="3" t="s">
        <v>172</v>
      </c>
      <c r="C221" s="12">
        <v>569730</v>
      </c>
      <c r="D221" s="13">
        <v>134797</v>
      </c>
      <c r="E221" s="2" t="s">
        <v>158</v>
      </c>
      <c r="F221" s="19">
        <v>221.2</v>
      </c>
      <c r="G221" s="21">
        <v>130.5</v>
      </c>
      <c r="H221" s="20">
        <v>119.8</v>
      </c>
      <c r="I221" s="21">
        <v>125.2</v>
      </c>
      <c r="J221" s="2" t="s">
        <v>158</v>
      </c>
      <c r="K221" s="19">
        <v>104</v>
      </c>
      <c r="L221" s="19">
        <v>90.2</v>
      </c>
      <c r="M221" s="19">
        <v>57.5</v>
      </c>
      <c r="N221" s="5" t="s">
        <v>1</v>
      </c>
      <c r="O221" s="11" t="s">
        <v>155</v>
      </c>
      <c r="P221" s="11" t="s">
        <v>156</v>
      </c>
    </row>
    <row r="222" spans="1:16" ht="13.5" customHeight="1" x14ac:dyDescent="0.2">
      <c r="A222" s="5" t="s">
        <v>99</v>
      </c>
      <c r="B222" s="5" t="s">
        <v>0</v>
      </c>
      <c r="C222" s="12">
        <v>569520</v>
      </c>
      <c r="D222" s="12">
        <v>134958</v>
      </c>
      <c r="E222" s="2" t="s">
        <v>158</v>
      </c>
      <c r="F222" s="19">
        <v>226.2</v>
      </c>
      <c r="G222" s="21">
        <v>129.5</v>
      </c>
      <c r="H222" s="22">
        <v>121.9</v>
      </c>
      <c r="I222" s="21">
        <v>125.7</v>
      </c>
      <c r="J222" s="2" t="s">
        <v>158</v>
      </c>
      <c r="K222" s="21">
        <v>103.3</v>
      </c>
      <c r="L222" s="19">
        <v>91.4</v>
      </c>
      <c r="M222" s="19">
        <v>56.3</v>
      </c>
      <c r="N222" s="5" t="s">
        <v>1</v>
      </c>
      <c r="O222" s="11" t="s">
        <v>155</v>
      </c>
      <c r="P222" s="11" t="s">
        <v>156</v>
      </c>
    </row>
    <row r="223" spans="1:16" ht="13.5" customHeight="1" x14ac:dyDescent="0.2">
      <c r="A223" s="5" t="s">
        <v>100</v>
      </c>
      <c r="B223" s="5" t="s">
        <v>0</v>
      </c>
      <c r="C223" s="12">
        <v>571219</v>
      </c>
      <c r="D223" s="12">
        <v>134997</v>
      </c>
      <c r="E223" s="2" t="s">
        <v>158</v>
      </c>
      <c r="F223" s="19">
        <v>227.3</v>
      </c>
      <c r="G223" s="21">
        <v>125.4</v>
      </c>
      <c r="H223" s="20">
        <v>119.3</v>
      </c>
      <c r="I223" s="21">
        <v>122.4</v>
      </c>
      <c r="J223" s="2" t="s">
        <v>158</v>
      </c>
      <c r="K223" s="19">
        <v>109.8</v>
      </c>
      <c r="L223" s="19">
        <v>92.3</v>
      </c>
      <c r="M223" s="19">
        <v>67.7</v>
      </c>
      <c r="N223" s="5" t="s">
        <v>1</v>
      </c>
      <c r="O223" s="11" t="s">
        <v>155</v>
      </c>
      <c r="P223" s="11" t="s">
        <v>156</v>
      </c>
    </row>
    <row r="224" spans="1:16" ht="13.5" customHeight="1" x14ac:dyDescent="0.2">
      <c r="A224" s="5" t="s">
        <v>101</v>
      </c>
      <c r="B224" s="3" t="s">
        <v>172</v>
      </c>
      <c r="C224" s="12">
        <v>569900</v>
      </c>
      <c r="D224" s="13">
        <v>135320</v>
      </c>
      <c r="E224" s="2" t="s">
        <v>158</v>
      </c>
      <c r="F224" s="19">
        <v>229.2</v>
      </c>
      <c r="G224" s="21">
        <v>139.1</v>
      </c>
      <c r="H224" s="20">
        <v>108.6</v>
      </c>
      <c r="I224" s="21">
        <v>123.8</v>
      </c>
      <c r="J224" s="2" t="s">
        <v>158</v>
      </c>
      <c r="K224" s="19">
        <v>110.7</v>
      </c>
      <c r="L224" s="19">
        <v>97.9</v>
      </c>
      <c r="M224" s="19">
        <v>68.599999999999994</v>
      </c>
      <c r="N224" s="5" t="s">
        <v>1</v>
      </c>
      <c r="O224" s="11" t="s">
        <v>155</v>
      </c>
      <c r="P224" s="11" t="s">
        <v>156</v>
      </c>
    </row>
    <row r="225" spans="1:16" ht="13.5" customHeight="1" x14ac:dyDescent="0.2">
      <c r="A225" s="5" t="s">
        <v>102</v>
      </c>
      <c r="B225" s="5" t="s">
        <v>0</v>
      </c>
      <c r="C225" s="12">
        <v>570090</v>
      </c>
      <c r="D225" s="12">
        <v>135040</v>
      </c>
      <c r="E225" s="2" t="s">
        <v>158</v>
      </c>
      <c r="F225" s="19">
        <v>230</v>
      </c>
      <c r="G225" s="21">
        <v>163</v>
      </c>
      <c r="H225" s="22">
        <v>126.2</v>
      </c>
      <c r="I225" s="21">
        <v>144.6</v>
      </c>
      <c r="J225" s="2" t="s">
        <v>158</v>
      </c>
      <c r="K225" s="21">
        <v>109.1</v>
      </c>
      <c r="L225" s="19">
        <v>93</v>
      </c>
      <c r="M225" s="19">
        <v>68.2</v>
      </c>
      <c r="N225" s="5" t="s">
        <v>1</v>
      </c>
      <c r="O225" s="11" t="s">
        <v>155</v>
      </c>
      <c r="P225" s="11" t="s">
        <v>156</v>
      </c>
    </row>
    <row r="226" spans="1:16" ht="13.5" customHeight="1" x14ac:dyDescent="0.2">
      <c r="A226" s="5" t="s">
        <v>103</v>
      </c>
      <c r="B226" s="5" t="s">
        <v>0</v>
      </c>
      <c r="C226" s="12">
        <v>569180</v>
      </c>
      <c r="D226" s="12">
        <v>134932</v>
      </c>
      <c r="E226" s="2" t="s">
        <v>158</v>
      </c>
      <c r="F226" s="19">
        <v>218.2</v>
      </c>
      <c r="G226" s="21">
        <v>136.6</v>
      </c>
      <c r="H226" s="20">
        <v>127.5</v>
      </c>
      <c r="I226" s="21">
        <v>132</v>
      </c>
      <c r="J226" s="2" t="s">
        <v>158</v>
      </c>
      <c r="K226" s="19">
        <v>97.7</v>
      </c>
      <c r="L226" s="19">
        <v>88.5</v>
      </c>
      <c r="M226" s="19">
        <v>48.7</v>
      </c>
      <c r="N226" s="5" t="s">
        <v>1</v>
      </c>
      <c r="O226" s="11" t="s">
        <v>155</v>
      </c>
      <c r="P226" s="11" t="s">
        <v>156</v>
      </c>
    </row>
    <row r="227" spans="1:16" ht="13.5" customHeight="1" x14ac:dyDescent="0.2">
      <c r="A227" s="5" t="s">
        <v>104</v>
      </c>
      <c r="B227" s="3" t="s">
        <v>172</v>
      </c>
      <c r="C227" s="12">
        <v>568501</v>
      </c>
      <c r="D227" s="13">
        <v>135089</v>
      </c>
      <c r="E227" s="2" t="s">
        <v>158</v>
      </c>
      <c r="F227" s="19">
        <v>217.2</v>
      </c>
      <c r="G227" s="21">
        <v>139.5</v>
      </c>
      <c r="H227" s="20">
        <v>132.4</v>
      </c>
      <c r="I227" s="21">
        <v>135.9</v>
      </c>
      <c r="J227" s="2" t="s">
        <v>158</v>
      </c>
      <c r="K227" s="19">
        <v>81.8</v>
      </c>
      <c r="L227" s="19">
        <v>80.2</v>
      </c>
      <c r="M227" s="19">
        <v>39.299999999999997</v>
      </c>
      <c r="N227" s="5" t="s">
        <v>1</v>
      </c>
      <c r="O227" s="11" t="s">
        <v>155</v>
      </c>
      <c r="P227" s="11" t="s">
        <v>156</v>
      </c>
    </row>
    <row r="228" spans="1:16" ht="13.5" customHeight="1" x14ac:dyDescent="0.2">
      <c r="A228" s="5" t="s">
        <v>105</v>
      </c>
      <c r="B228" s="5" t="s">
        <v>0</v>
      </c>
      <c r="C228" s="12">
        <v>568469</v>
      </c>
      <c r="D228" s="12">
        <v>135331</v>
      </c>
      <c r="E228" s="2" t="s">
        <v>158</v>
      </c>
      <c r="F228" s="19">
        <v>221.8</v>
      </c>
      <c r="G228" s="19">
        <v>97.9</v>
      </c>
      <c r="H228" s="20">
        <v>93.3</v>
      </c>
      <c r="I228" s="19">
        <v>95.6</v>
      </c>
      <c r="J228" s="2" t="s">
        <v>158</v>
      </c>
      <c r="K228" s="19">
        <v>85.3</v>
      </c>
      <c r="L228" s="19">
        <v>82.9</v>
      </c>
      <c r="M228" s="19">
        <v>49.3</v>
      </c>
      <c r="N228" s="5" t="s">
        <v>1</v>
      </c>
      <c r="O228" s="11" t="s">
        <v>155</v>
      </c>
      <c r="P228" s="11" t="s">
        <v>156</v>
      </c>
    </row>
    <row r="229" spans="1:16" ht="13.5" customHeight="1" x14ac:dyDescent="0.2">
      <c r="A229" s="5" t="s">
        <v>106</v>
      </c>
      <c r="B229" s="5" t="s">
        <v>7</v>
      </c>
      <c r="C229" s="12">
        <v>569084</v>
      </c>
      <c r="D229" s="12">
        <v>135326</v>
      </c>
      <c r="E229" s="2" t="s">
        <v>158</v>
      </c>
      <c r="F229" s="19">
        <v>225.9</v>
      </c>
      <c r="G229" s="23">
        <v>105.3</v>
      </c>
      <c r="H229" s="24">
        <v>100.8</v>
      </c>
      <c r="I229" s="26">
        <v>103</v>
      </c>
      <c r="J229" s="2" t="s">
        <v>158</v>
      </c>
      <c r="K229" s="19">
        <v>100.6</v>
      </c>
      <c r="L229" s="19">
        <v>93</v>
      </c>
      <c r="M229" s="33">
        <v>54.2</v>
      </c>
      <c r="N229" s="5" t="s">
        <v>1</v>
      </c>
      <c r="O229" s="11" t="s">
        <v>155</v>
      </c>
      <c r="P229" s="11" t="s">
        <v>156</v>
      </c>
    </row>
    <row r="230" spans="1:16" ht="13.5" customHeight="1" x14ac:dyDescent="0.2">
      <c r="A230" s="5" t="s">
        <v>107</v>
      </c>
      <c r="B230" s="5" t="s">
        <v>108</v>
      </c>
      <c r="C230" s="15">
        <v>569078</v>
      </c>
      <c r="D230" s="15">
        <v>135333</v>
      </c>
      <c r="E230" s="2" t="s">
        <v>158</v>
      </c>
      <c r="F230" s="30">
        <v>225.9</v>
      </c>
      <c r="G230" s="30">
        <v>134.80000000000001</v>
      </c>
      <c r="H230" s="30">
        <v>89.1</v>
      </c>
      <c r="I230" s="30">
        <v>112</v>
      </c>
      <c r="J230" s="2" t="s">
        <v>158</v>
      </c>
      <c r="K230" s="30">
        <v>100.6</v>
      </c>
      <c r="L230" s="30">
        <v>93.1</v>
      </c>
      <c r="M230" s="30">
        <v>54.2</v>
      </c>
      <c r="N230" s="5" t="s">
        <v>38</v>
      </c>
      <c r="O230" s="11" t="s">
        <v>155</v>
      </c>
      <c r="P230" s="11" t="s">
        <v>156</v>
      </c>
    </row>
    <row r="231" spans="1:16" ht="13.5" customHeight="1" x14ac:dyDescent="0.2">
      <c r="A231" s="5" t="s">
        <v>109</v>
      </c>
      <c r="B231" s="6" t="s">
        <v>171</v>
      </c>
      <c r="C231" s="15">
        <v>565891</v>
      </c>
      <c r="D231" s="13">
        <v>135412</v>
      </c>
      <c r="E231" s="2" t="s">
        <v>158</v>
      </c>
      <c r="F231" s="30">
        <v>206.1</v>
      </c>
      <c r="G231" s="21">
        <v>146.6</v>
      </c>
      <c r="H231" s="30">
        <v>134.69999999999999</v>
      </c>
      <c r="I231" s="21">
        <v>140.69999999999999</v>
      </c>
      <c r="J231" s="2" t="s">
        <v>158</v>
      </c>
      <c r="K231" s="30">
        <v>71.5</v>
      </c>
      <c r="L231" s="30">
        <v>54.6</v>
      </c>
      <c r="M231" s="30">
        <v>34.799999999999997</v>
      </c>
      <c r="N231" s="5" t="s">
        <v>38</v>
      </c>
      <c r="O231" s="11" t="s">
        <v>155</v>
      </c>
      <c r="P231" s="11" t="s">
        <v>156</v>
      </c>
    </row>
    <row r="232" spans="1:16" ht="13.5" customHeight="1" x14ac:dyDescent="0.2">
      <c r="A232" s="5" t="s">
        <v>110</v>
      </c>
      <c r="B232" s="5" t="s">
        <v>108</v>
      </c>
      <c r="C232" s="15">
        <v>571164</v>
      </c>
      <c r="D232" s="15">
        <v>135764</v>
      </c>
      <c r="E232" s="2" t="s">
        <v>158</v>
      </c>
      <c r="F232" s="30">
        <v>228.9</v>
      </c>
      <c r="G232" s="21">
        <v>126.8</v>
      </c>
      <c r="H232" s="21">
        <v>117.7</v>
      </c>
      <c r="I232" s="21">
        <v>122.2</v>
      </c>
      <c r="J232" s="2" t="s">
        <v>158</v>
      </c>
      <c r="K232" s="21">
        <v>115</v>
      </c>
      <c r="L232" s="21">
        <v>105.3</v>
      </c>
      <c r="M232" s="30">
        <v>78</v>
      </c>
      <c r="N232" s="5" t="s">
        <v>38</v>
      </c>
      <c r="O232" s="11" t="s">
        <v>155</v>
      </c>
      <c r="P232" s="11" t="s">
        <v>156</v>
      </c>
    </row>
    <row r="233" spans="1:16" ht="13.5" customHeight="1" x14ac:dyDescent="0.2">
      <c r="A233" s="5" t="s">
        <v>111</v>
      </c>
      <c r="B233" s="5" t="s">
        <v>108</v>
      </c>
      <c r="C233" s="15">
        <v>570057</v>
      </c>
      <c r="D233" s="15">
        <v>135881</v>
      </c>
      <c r="E233" s="2" t="s">
        <v>158</v>
      </c>
      <c r="F233" s="30">
        <v>230.3</v>
      </c>
      <c r="G233" s="21">
        <v>129.5</v>
      </c>
      <c r="H233" s="30">
        <v>118.8</v>
      </c>
      <c r="I233" s="21">
        <v>124.1</v>
      </c>
      <c r="J233" s="2" t="s">
        <v>158</v>
      </c>
      <c r="K233" s="30">
        <v>118.6</v>
      </c>
      <c r="L233" s="30">
        <v>99.5</v>
      </c>
      <c r="M233" s="30">
        <v>74.599999999999994</v>
      </c>
      <c r="N233" s="5" t="s">
        <v>38</v>
      </c>
      <c r="O233" s="11" t="s">
        <v>155</v>
      </c>
      <c r="P233" s="11" t="s">
        <v>156</v>
      </c>
    </row>
    <row r="234" spans="1:16" ht="13.5" customHeight="1" x14ac:dyDescent="0.2">
      <c r="A234" s="5" t="s">
        <v>112</v>
      </c>
      <c r="B234" s="6" t="s">
        <v>171</v>
      </c>
      <c r="C234" s="15">
        <v>562917</v>
      </c>
      <c r="D234" s="13">
        <v>136620</v>
      </c>
      <c r="E234" s="2" t="s">
        <v>158</v>
      </c>
      <c r="F234" s="21">
        <v>197</v>
      </c>
      <c r="G234" s="21">
        <v>143.69999999999999</v>
      </c>
      <c r="H234" s="30">
        <v>121.8</v>
      </c>
      <c r="I234" s="21">
        <v>132.69999999999999</v>
      </c>
      <c r="J234" s="2" t="s">
        <v>158</v>
      </c>
      <c r="K234" s="30">
        <v>66.599999999999994</v>
      </c>
      <c r="L234" s="30">
        <v>50.7</v>
      </c>
      <c r="M234" s="30">
        <v>8.6</v>
      </c>
      <c r="N234" s="5" t="s">
        <v>38</v>
      </c>
      <c r="O234" s="11" t="s">
        <v>155</v>
      </c>
      <c r="P234" s="11" t="s">
        <v>156</v>
      </c>
    </row>
    <row r="235" spans="1:16" ht="13.5" customHeight="1" x14ac:dyDescent="0.2">
      <c r="A235" s="5" t="s">
        <v>113</v>
      </c>
      <c r="B235" s="5" t="s">
        <v>114</v>
      </c>
      <c r="C235" s="15">
        <v>570391</v>
      </c>
      <c r="D235" s="15">
        <v>136897</v>
      </c>
      <c r="E235" s="2" t="s">
        <v>158</v>
      </c>
      <c r="F235" s="30">
        <v>221.5</v>
      </c>
      <c r="G235" s="21">
        <v>125.2</v>
      </c>
      <c r="H235" s="21">
        <v>115.7</v>
      </c>
      <c r="I235" s="21">
        <v>120.5</v>
      </c>
      <c r="J235" s="2" t="s">
        <v>158</v>
      </c>
      <c r="K235" s="21">
        <v>124.3</v>
      </c>
      <c r="L235" s="21">
        <v>119</v>
      </c>
      <c r="M235" s="30">
        <v>86.5</v>
      </c>
      <c r="N235" s="5" t="s">
        <v>38</v>
      </c>
      <c r="O235" s="11" t="s">
        <v>155</v>
      </c>
      <c r="P235" s="11" t="s">
        <v>156</v>
      </c>
    </row>
    <row r="236" spans="1:16" ht="13.5" customHeight="1" x14ac:dyDescent="0.2">
      <c r="A236" s="5" t="s">
        <v>115</v>
      </c>
      <c r="B236" s="5" t="s">
        <v>114</v>
      </c>
      <c r="C236" s="15">
        <v>568670</v>
      </c>
      <c r="D236" s="15">
        <v>136810</v>
      </c>
      <c r="E236" s="2" t="s">
        <v>158</v>
      </c>
      <c r="F236" s="30">
        <v>224.8</v>
      </c>
      <c r="G236" s="21">
        <v>102.8</v>
      </c>
      <c r="H236" s="30">
        <v>96.7</v>
      </c>
      <c r="I236" s="30">
        <v>99.7</v>
      </c>
      <c r="J236" s="2" t="s">
        <v>158</v>
      </c>
      <c r="K236" s="30">
        <v>111.6</v>
      </c>
      <c r="L236" s="30">
        <v>105.8</v>
      </c>
      <c r="M236" s="30">
        <v>69.099999999999994</v>
      </c>
      <c r="N236" s="5" t="s">
        <v>116</v>
      </c>
      <c r="O236" s="11" t="s">
        <v>155</v>
      </c>
      <c r="P236" s="11" t="s">
        <v>156</v>
      </c>
    </row>
    <row r="237" spans="1:16" ht="13.5" customHeight="1" x14ac:dyDescent="0.2">
      <c r="A237" s="5" t="s">
        <v>117</v>
      </c>
      <c r="B237" s="5" t="s">
        <v>114</v>
      </c>
      <c r="C237" s="15">
        <v>568729</v>
      </c>
      <c r="D237" s="13">
        <v>137183</v>
      </c>
      <c r="E237" s="2" t="s">
        <v>158</v>
      </c>
      <c r="F237" s="30">
        <v>221.8</v>
      </c>
      <c r="G237" s="21">
        <v>138.30000000000001</v>
      </c>
      <c r="H237" s="30">
        <v>125.5</v>
      </c>
      <c r="I237" s="21">
        <v>131.9</v>
      </c>
      <c r="J237" s="2" t="s">
        <v>158</v>
      </c>
      <c r="K237" s="30">
        <v>122.8</v>
      </c>
      <c r="L237" s="21">
        <v>116.7</v>
      </c>
      <c r="M237" s="30">
        <v>76.2</v>
      </c>
      <c r="N237" s="5" t="s">
        <v>38</v>
      </c>
      <c r="O237" s="11" t="s">
        <v>155</v>
      </c>
      <c r="P237" s="11" t="s">
        <v>156</v>
      </c>
    </row>
    <row r="238" spans="1:16" ht="13.5" customHeight="1" x14ac:dyDescent="0.2">
      <c r="A238" s="5" t="s">
        <v>118</v>
      </c>
      <c r="B238" s="5" t="s">
        <v>114</v>
      </c>
      <c r="C238" s="15">
        <v>568947</v>
      </c>
      <c r="D238" s="15">
        <v>137234</v>
      </c>
      <c r="E238" s="2" t="s">
        <v>158</v>
      </c>
      <c r="F238" s="30">
        <v>221.7</v>
      </c>
      <c r="G238" s="21">
        <v>109.8</v>
      </c>
      <c r="H238" s="21">
        <v>105.2</v>
      </c>
      <c r="I238" s="21">
        <v>107.5</v>
      </c>
      <c r="J238" s="2" t="s">
        <v>158</v>
      </c>
      <c r="K238" s="21">
        <v>120.7</v>
      </c>
      <c r="L238" s="21">
        <v>110.8</v>
      </c>
      <c r="M238" s="30">
        <v>81.599999999999994</v>
      </c>
      <c r="N238" s="5" t="s">
        <v>116</v>
      </c>
      <c r="O238" s="11" t="s">
        <v>155</v>
      </c>
      <c r="P238" s="11" t="s">
        <v>156</v>
      </c>
    </row>
    <row r="239" spans="1:16" ht="13.5" customHeight="1" x14ac:dyDescent="0.2">
      <c r="A239" s="5" t="s">
        <v>119</v>
      </c>
      <c r="B239" s="6" t="s">
        <v>171</v>
      </c>
      <c r="C239" s="15">
        <v>571431</v>
      </c>
      <c r="D239" s="15">
        <v>137442</v>
      </c>
      <c r="E239" s="2" t="s">
        <v>158</v>
      </c>
      <c r="F239" s="30">
        <v>211.2</v>
      </c>
      <c r="G239" s="21">
        <v>121.6</v>
      </c>
      <c r="H239" s="21">
        <v>115.4</v>
      </c>
      <c r="I239" s="21">
        <v>118.5</v>
      </c>
      <c r="J239" s="2" t="s">
        <v>158</v>
      </c>
      <c r="K239" s="21">
        <v>-9999</v>
      </c>
      <c r="L239" s="21">
        <v>120.9</v>
      </c>
      <c r="M239" s="21">
        <v>104.9</v>
      </c>
      <c r="N239" s="5" t="s">
        <v>38</v>
      </c>
      <c r="O239" s="11" t="s">
        <v>155</v>
      </c>
      <c r="P239" s="11" t="s">
        <v>156</v>
      </c>
    </row>
    <row r="240" spans="1:16" ht="13.5" customHeight="1" x14ac:dyDescent="0.2">
      <c r="A240" s="5" t="s">
        <v>120</v>
      </c>
      <c r="B240" s="6" t="s">
        <v>171</v>
      </c>
      <c r="C240" s="15">
        <v>571474</v>
      </c>
      <c r="D240" s="13">
        <v>137969</v>
      </c>
      <c r="E240" s="2" t="s">
        <v>158</v>
      </c>
      <c r="F240" s="21">
        <v>198.8</v>
      </c>
      <c r="G240" s="21">
        <v>127.2</v>
      </c>
      <c r="H240" s="30">
        <v>116.9</v>
      </c>
      <c r="I240" s="21">
        <v>122</v>
      </c>
      <c r="J240" s="2" t="s">
        <v>158</v>
      </c>
      <c r="K240" s="21">
        <v>-9999</v>
      </c>
      <c r="L240" s="21">
        <v>126.2</v>
      </c>
      <c r="M240" s="30">
        <v>111.9</v>
      </c>
      <c r="N240" s="5" t="s">
        <v>38</v>
      </c>
      <c r="O240" s="11" t="s">
        <v>155</v>
      </c>
      <c r="P240" s="11" t="s">
        <v>156</v>
      </c>
    </row>
    <row r="241" spans="1:16" ht="13.5" customHeight="1" x14ac:dyDescent="0.2">
      <c r="A241" s="6" t="s">
        <v>167</v>
      </c>
      <c r="B241" s="6" t="s">
        <v>171</v>
      </c>
      <c r="C241" s="15">
        <v>565562</v>
      </c>
      <c r="D241" s="15">
        <v>137693</v>
      </c>
      <c r="E241" s="2" t="s">
        <v>158</v>
      </c>
      <c r="F241" s="30">
        <v>713.5</v>
      </c>
      <c r="G241" s="31">
        <v>10.5</v>
      </c>
      <c r="H241" s="30">
        <v>3.8</v>
      </c>
      <c r="I241" s="30">
        <v>7.2</v>
      </c>
      <c r="J241" s="6" t="s">
        <v>165</v>
      </c>
      <c r="K241" s="30">
        <v>77.099999999999994</v>
      </c>
      <c r="L241" s="30">
        <v>71.400000000000006</v>
      </c>
      <c r="M241" s="30">
        <v>54.7</v>
      </c>
      <c r="N241" s="5" t="s">
        <v>116</v>
      </c>
      <c r="O241" s="11" t="s">
        <v>155</v>
      </c>
      <c r="P241" s="11" t="s">
        <v>156</v>
      </c>
    </row>
    <row r="242" spans="1:16" ht="13.5" customHeight="1" x14ac:dyDescent="0.2">
      <c r="A242" s="6" t="s">
        <v>168</v>
      </c>
      <c r="B242" s="5" t="s">
        <v>121</v>
      </c>
      <c r="C242" s="15">
        <v>565562</v>
      </c>
      <c r="D242" s="13">
        <v>137693</v>
      </c>
      <c r="E242" s="2" t="s">
        <v>158</v>
      </c>
      <c r="F242" s="30">
        <v>713.5</v>
      </c>
      <c r="G242" s="30">
        <v>64.099999999999994</v>
      </c>
      <c r="H242" s="30">
        <v>61.1</v>
      </c>
      <c r="I242" s="30">
        <v>62.6</v>
      </c>
      <c r="J242" s="7" t="s">
        <v>164</v>
      </c>
      <c r="K242" s="30">
        <v>77.099999999999994</v>
      </c>
      <c r="L242" s="30">
        <v>71.400000000000006</v>
      </c>
      <c r="M242" s="30">
        <v>54.7</v>
      </c>
      <c r="N242" s="5" t="s">
        <v>122</v>
      </c>
      <c r="O242" s="11" t="s">
        <v>155</v>
      </c>
      <c r="P242" s="11" t="s">
        <v>156</v>
      </c>
    </row>
    <row r="243" spans="1:16" ht="13.5" customHeight="1" x14ac:dyDescent="0.2">
      <c r="A243" s="5" t="s">
        <v>123</v>
      </c>
      <c r="B243" s="5" t="s">
        <v>121</v>
      </c>
      <c r="C243" s="15">
        <v>568388</v>
      </c>
      <c r="D243" s="15">
        <v>138057</v>
      </c>
      <c r="E243" s="2" t="s">
        <v>158</v>
      </c>
      <c r="F243" s="30">
        <v>210.3</v>
      </c>
      <c r="G243" s="21">
        <v>137.5</v>
      </c>
      <c r="H243" s="21">
        <v>123.8</v>
      </c>
      <c r="I243" s="21">
        <v>130.69999999999999</v>
      </c>
      <c r="J243" s="9" t="s">
        <v>166</v>
      </c>
      <c r="K243" s="21">
        <v>-9999</v>
      </c>
      <c r="L243" s="21">
        <v>106.9</v>
      </c>
      <c r="M243" s="30">
        <v>95.5</v>
      </c>
      <c r="N243" s="5" t="s">
        <v>38</v>
      </c>
      <c r="O243" s="11" t="s">
        <v>155</v>
      </c>
      <c r="P243" s="11" t="s">
        <v>156</v>
      </c>
    </row>
    <row r="244" spans="1:16" ht="13.5" customHeight="1" x14ac:dyDescent="0.2">
      <c r="A244" s="5" t="s">
        <v>124</v>
      </c>
      <c r="B244" s="6" t="s">
        <v>171</v>
      </c>
      <c r="C244" s="15">
        <v>566469</v>
      </c>
      <c r="D244" s="13">
        <v>138087</v>
      </c>
      <c r="E244" s="2" t="s">
        <v>158</v>
      </c>
      <c r="F244" s="30">
        <v>205.9</v>
      </c>
      <c r="G244" s="21">
        <v>117.5</v>
      </c>
      <c r="H244" s="30">
        <v>111.4</v>
      </c>
      <c r="I244" s="21">
        <v>114.4</v>
      </c>
      <c r="J244" s="9" t="s">
        <v>166</v>
      </c>
      <c r="K244" s="30">
        <v>-9999</v>
      </c>
      <c r="L244" s="21">
        <v>106.9</v>
      </c>
      <c r="M244" s="30">
        <v>71.5</v>
      </c>
      <c r="N244" s="5" t="s">
        <v>38</v>
      </c>
      <c r="O244" s="11" t="s">
        <v>155</v>
      </c>
      <c r="P244" s="11" t="s">
        <v>156</v>
      </c>
    </row>
    <row r="245" spans="1:16" ht="13.5" customHeight="1" x14ac:dyDescent="0.2">
      <c r="A245" s="5" t="s">
        <v>125</v>
      </c>
      <c r="B245" s="6" t="s">
        <v>171</v>
      </c>
      <c r="C245" s="15">
        <v>566433</v>
      </c>
      <c r="D245" s="15">
        <v>138119</v>
      </c>
      <c r="E245" s="2" t="s">
        <v>158</v>
      </c>
      <c r="F245" s="30">
        <v>205.7</v>
      </c>
      <c r="G245" s="30">
        <v>140.30000000000001</v>
      </c>
      <c r="H245" s="30">
        <v>134.19999999999999</v>
      </c>
      <c r="I245" s="30">
        <v>137.19999999999999</v>
      </c>
      <c r="J245" s="9" t="s">
        <v>166</v>
      </c>
      <c r="K245" s="30">
        <v>-9999</v>
      </c>
      <c r="L245" s="30">
        <v>106.5</v>
      </c>
      <c r="M245" s="30">
        <v>71.400000000000006</v>
      </c>
      <c r="N245" s="5" t="s">
        <v>38</v>
      </c>
      <c r="O245" s="11" t="s">
        <v>155</v>
      </c>
      <c r="P245" s="11" t="s">
        <v>156</v>
      </c>
    </row>
    <row r="246" spans="1:16" ht="13.5" customHeight="1" x14ac:dyDescent="0.2">
      <c r="A246" s="5" t="s">
        <v>126</v>
      </c>
      <c r="B246" s="5" t="s">
        <v>121</v>
      </c>
      <c r="C246" s="15">
        <v>560517</v>
      </c>
      <c r="D246" s="15">
        <v>138355</v>
      </c>
      <c r="E246" s="2" t="s">
        <v>158</v>
      </c>
      <c r="F246" s="30">
        <v>245.1</v>
      </c>
      <c r="G246" s="30">
        <v>53.1</v>
      </c>
      <c r="H246" s="30">
        <v>47</v>
      </c>
      <c r="I246" s="30">
        <v>50</v>
      </c>
      <c r="J246" s="9" t="s">
        <v>166</v>
      </c>
      <c r="K246" s="30">
        <v>73.900000000000006</v>
      </c>
      <c r="L246" s="30">
        <v>53.6</v>
      </c>
      <c r="M246" s="21">
        <v>19.7</v>
      </c>
      <c r="N246" s="5" t="s">
        <v>127</v>
      </c>
      <c r="O246" s="11" t="s">
        <v>155</v>
      </c>
      <c r="P246" s="11" t="s">
        <v>156</v>
      </c>
    </row>
    <row r="247" spans="1:16" ht="13.5" customHeight="1" x14ac:dyDescent="0.2">
      <c r="A247" s="6" t="s">
        <v>163</v>
      </c>
      <c r="B247" s="5" t="s">
        <v>114</v>
      </c>
      <c r="C247" s="15">
        <v>559304</v>
      </c>
      <c r="D247" s="15">
        <v>138503</v>
      </c>
      <c r="E247" s="2" t="s">
        <v>158</v>
      </c>
      <c r="F247" s="30">
        <v>241.7</v>
      </c>
      <c r="G247" s="21">
        <v>150.30000000000001</v>
      </c>
      <c r="H247" s="30">
        <v>129.80000000000001</v>
      </c>
      <c r="I247" s="21">
        <v>140</v>
      </c>
      <c r="J247" s="9" t="s">
        <v>166</v>
      </c>
      <c r="K247" s="30">
        <v>-9999</v>
      </c>
      <c r="L247" s="23">
        <v>-9999</v>
      </c>
      <c r="M247" s="30">
        <v>112.2</v>
      </c>
      <c r="N247" s="5" t="s">
        <v>38</v>
      </c>
      <c r="O247" s="11" t="s">
        <v>155</v>
      </c>
      <c r="P247" s="11" t="s">
        <v>156</v>
      </c>
    </row>
    <row r="248" spans="1:16" ht="13.5" customHeight="1" x14ac:dyDescent="0.2">
      <c r="A248" s="5" t="s">
        <v>128</v>
      </c>
      <c r="B248" s="5" t="s">
        <v>114</v>
      </c>
      <c r="C248" s="15">
        <v>565771</v>
      </c>
      <c r="D248" s="15">
        <v>138271</v>
      </c>
      <c r="E248" s="2" t="s">
        <v>158</v>
      </c>
      <c r="F248" s="30">
        <v>210.7</v>
      </c>
      <c r="G248" s="30">
        <v>142.19999999999999</v>
      </c>
      <c r="H248" s="30">
        <v>130</v>
      </c>
      <c r="I248" s="30">
        <v>136.1</v>
      </c>
      <c r="J248" s="9" t="s">
        <v>166</v>
      </c>
      <c r="K248" s="30">
        <v>-9999</v>
      </c>
      <c r="L248" s="30">
        <v>89.5</v>
      </c>
      <c r="M248" s="30">
        <v>57.8</v>
      </c>
      <c r="N248" s="5" t="s">
        <v>129</v>
      </c>
      <c r="O248" s="11" t="s">
        <v>155</v>
      </c>
      <c r="P248" s="11" t="s">
        <v>156</v>
      </c>
    </row>
    <row r="249" spans="1:16" ht="13.5" customHeight="1" x14ac:dyDescent="0.2">
      <c r="A249" s="5" t="s">
        <v>130</v>
      </c>
      <c r="B249" s="5" t="s">
        <v>121</v>
      </c>
      <c r="C249" s="15">
        <v>567360</v>
      </c>
      <c r="D249" s="15">
        <v>138647</v>
      </c>
      <c r="E249" s="2" t="s">
        <v>158</v>
      </c>
      <c r="F249" s="30">
        <v>200.6</v>
      </c>
      <c r="G249" s="21">
        <v>132.6</v>
      </c>
      <c r="H249" s="21">
        <v>121.9</v>
      </c>
      <c r="I249" s="21">
        <v>127.2</v>
      </c>
      <c r="J249" s="9" t="s">
        <v>166</v>
      </c>
      <c r="K249" s="21">
        <v>-9999</v>
      </c>
      <c r="L249" s="21">
        <v>113.4</v>
      </c>
      <c r="M249" s="30">
        <v>89.2</v>
      </c>
      <c r="N249" s="5" t="s">
        <v>38</v>
      </c>
      <c r="O249" s="11" t="s">
        <v>155</v>
      </c>
      <c r="P249" s="11" t="s">
        <v>156</v>
      </c>
    </row>
    <row r="250" spans="1:16" ht="13.5" customHeight="1" x14ac:dyDescent="0.2">
      <c r="A250" s="5" t="s">
        <v>131</v>
      </c>
      <c r="B250" s="6" t="s">
        <v>171</v>
      </c>
      <c r="C250" s="15">
        <v>570664</v>
      </c>
      <c r="D250" s="15">
        <v>139148</v>
      </c>
      <c r="E250" s="2" t="s">
        <v>158</v>
      </c>
      <c r="F250" s="21">
        <v>174.8</v>
      </c>
      <c r="G250" s="21">
        <v>126.9</v>
      </c>
      <c r="H250" s="30">
        <v>119.5</v>
      </c>
      <c r="I250" s="21">
        <v>123.2</v>
      </c>
      <c r="J250" s="9" t="s">
        <v>166</v>
      </c>
      <c r="K250" s="30">
        <v>-9999</v>
      </c>
      <c r="L250" s="23">
        <v>-9999</v>
      </c>
      <c r="M250" s="30">
        <v>120.8</v>
      </c>
      <c r="N250" s="5" t="s">
        <v>38</v>
      </c>
      <c r="O250" s="11" t="s">
        <v>155</v>
      </c>
      <c r="P250" s="11" t="s">
        <v>156</v>
      </c>
    </row>
    <row r="251" spans="1:16" ht="13.5" customHeight="1" x14ac:dyDescent="0.2">
      <c r="A251" s="5" t="s">
        <v>132</v>
      </c>
      <c r="B251" s="5" t="s">
        <v>114</v>
      </c>
      <c r="C251" s="15">
        <v>566978</v>
      </c>
      <c r="D251" s="15">
        <v>138906</v>
      </c>
      <c r="E251" s="2" t="s">
        <v>158</v>
      </c>
      <c r="F251" s="21">
        <v>196</v>
      </c>
      <c r="G251" s="21">
        <v>138</v>
      </c>
      <c r="H251" s="21">
        <v>128.30000000000001</v>
      </c>
      <c r="I251" s="21">
        <v>133.19999999999999</v>
      </c>
      <c r="J251" s="9" t="s">
        <v>166</v>
      </c>
      <c r="K251" s="30">
        <v>-9999</v>
      </c>
      <c r="L251" s="21">
        <v>115.6</v>
      </c>
      <c r="M251" s="30">
        <v>80.3</v>
      </c>
      <c r="N251" s="5" t="s">
        <v>38</v>
      </c>
      <c r="O251" s="11" t="s">
        <v>155</v>
      </c>
      <c r="P251" s="11" t="s">
        <v>156</v>
      </c>
    </row>
    <row r="252" spans="1:16" ht="13.5" customHeight="1" x14ac:dyDescent="0.2">
      <c r="A252" s="5" t="s">
        <v>133</v>
      </c>
      <c r="B252" s="6" t="s">
        <v>171</v>
      </c>
      <c r="C252" s="15">
        <v>566978</v>
      </c>
      <c r="D252" s="15">
        <v>138906</v>
      </c>
      <c r="E252" s="2" t="s">
        <v>158</v>
      </c>
      <c r="F252" s="21">
        <v>195.9</v>
      </c>
      <c r="G252" s="30">
        <v>83.2</v>
      </c>
      <c r="H252" s="30">
        <v>81.599999999999994</v>
      </c>
      <c r="I252" s="30">
        <v>82.4</v>
      </c>
      <c r="J252" s="9" t="s">
        <v>166</v>
      </c>
      <c r="K252" s="21">
        <v>-9999</v>
      </c>
      <c r="L252" s="21">
        <v>115.6</v>
      </c>
      <c r="M252" s="30">
        <v>80.3</v>
      </c>
      <c r="N252" s="5" t="s">
        <v>127</v>
      </c>
      <c r="O252" s="11" t="s">
        <v>155</v>
      </c>
      <c r="P252" s="11" t="s">
        <v>156</v>
      </c>
    </row>
    <row r="253" spans="1:16" ht="13.5" customHeight="1" x14ac:dyDescent="0.2">
      <c r="A253" s="5" t="s">
        <v>134</v>
      </c>
      <c r="B253" s="6" t="s">
        <v>171</v>
      </c>
      <c r="C253" s="15">
        <v>566723</v>
      </c>
      <c r="D253" s="13">
        <v>140226</v>
      </c>
      <c r="E253" s="2" t="s">
        <v>158</v>
      </c>
      <c r="F253" s="21">
        <v>178.2</v>
      </c>
      <c r="G253" s="21">
        <v>135.19999999999999</v>
      </c>
      <c r="H253" s="30">
        <v>120.4</v>
      </c>
      <c r="I253" s="21">
        <v>127.8</v>
      </c>
      <c r="J253" s="9" t="s">
        <v>166</v>
      </c>
      <c r="K253" s="21">
        <v>-9999</v>
      </c>
      <c r="L253" s="21">
        <v>133.1</v>
      </c>
      <c r="M253" s="30">
        <v>108.4</v>
      </c>
      <c r="N253" s="5" t="s">
        <v>38</v>
      </c>
      <c r="O253" s="11" t="s">
        <v>155</v>
      </c>
      <c r="P253" s="11" t="s">
        <v>156</v>
      </c>
    </row>
    <row r="254" spans="1:16" ht="13.5" customHeight="1" x14ac:dyDescent="0.2">
      <c r="A254" s="8" t="s">
        <v>161</v>
      </c>
      <c r="B254" s="8" t="s">
        <v>162</v>
      </c>
      <c r="C254" s="8">
        <v>568967</v>
      </c>
      <c r="D254" s="7">
        <v>136488</v>
      </c>
      <c r="E254" s="2" t="s">
        <v>158</v>
      </c>
      <c r="F254" s="32">
        <v>226.5</v>
      </c>
      <c r="G254" s="33">
        <v>104.6</v>
      </c>
      <c r="H254" s="33">
        <v>93.9</v>
      </c>
      <c r="I254" s="32">
        <v>99.2</v>
      </c>
      <c r="J254" s="9" t="s">
        <v>166</v>
      </c>
      <c r="K254" s="32">
        <v>114.9</v>
      </c>
      <c r="L254" s="28">
        <v>105.7</v>
      </c>
      <c r="M254" s="32">
        <v>72.8</v>
      </c>
      <c r="N254" s="10" t="s">
        <v>135</v>
      </c>
      <c r="O254" s="11" t="s">
        <v>155</v>
      </c>
      <c r="P254" s="11" t="s">
        <v>156</v>
      </c>
    </row>
    <row r="255" spans="1:16" ht="13.5" customHeight="1" x14ac:dyDescent="0.2">
      <c r="B255" s="1"/>
      <c r="J255" s="1"/>
      <c r="K255" s="1"/>
    </row>
    <row r="256" spans="1:16" ht="13.5" customHeight="1" x14ac:dyDescent="0.2">
      <c r="B256" s="1"/>
      <c r="J256" s="1"/>
      <c r="K256" s="1"/>
    </row>
    <row r="257" spans="2:11" ht="13.5" customHeight="1" x14ac:dyDescent="0.2">
      <c r="B257" s="1"/>
      <c r="J257" s="1"/>
      <c r="K25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ECF-200ZP1-22-0098_R0_Combined EVALUATION OF POTENTIAL DATA GAPS AND REDUNDANCY FY21.pdf</dc:title>
  <dc:creator>Allan Foster</dc:creator>
  <cp:lastModifiedBy>Allan Foster</cp:lastModifiedBy>
  <dcterms:created xsi:type="dcterms:W3CDTF">2025-08-15T16:54:33Z</dcterms:created>
  <dcterms:modified xsi:type="dcterms:W3CDTF">2025-08-20T14:07:20Z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2025-08-15T00:00:00Z</vt:filetime>
  </property>
  <property fmtid="{D5CDD505-2E9C-101B-9397-08002B2CF9AE}" pid="3" name="LastSaved">
    <vt:filetime>2025-08-15T00:00:00Z</vt:filetime>
  </property>
  <property fmtid="{D5CDD505-2E9C-101B-9397-08002B2CF9AE}" pid="4" name="Producer">
    <vt:lpwstr>Microsoft: Print To PDF</vt:lpwstr>
  </property>
</Properties>
</file>